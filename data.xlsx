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7400\Downloads\"/>
    </mc:Choice>
  </mc:AlternateContent>
  <bookViews>
    <workbookView xWindow="-110" yWindow="-110" windowWidth="23260" windowHeight="12460" activeTab="3"/>
  </bookViews>
  <sheets>
    <sheet name="Нормалізовані дані" sheetId="5" r:id="rId1"/>
    <sheet name="Зведена таблиця" sheetId="3" r:id="rId2"/>
    <sheet name="Data" sheetId="1" r:id="rId3"/>
    <sheet name="Class" sheetId="6" r:id="rId4"/>
  </sheets>
  <definedNames>
    <definedName name="_xlnm._FilterDatabase" localSheetId="2" hidden="1">Data!$A$1:$E$223</definedName>
  </definedNames>
  <calcPr calcId="162913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6" l="1"/>
  <c r="D71" i="6"/>
  <c r="E71" i="6"/>
  <c r="F71" i="6"/>
  <c r="G71" i="6"/>
  <c r="C72" i="6"/>
  <c r="D72" i="6"/>
  <c r="E72" i="6"/>
  <c r="F72" i="6"/>
  <c r="G72" i="6"/>
  <c r="C73" i="6"/>
  <c r="D73" i="6"/>
  <c r="E73" i="6"/>
  <c r="F73" i="6"/>
  <c r="G73" i="6"/>
  <c r="C74" i="6"/>
  <c r="D74" i="6"/>
  <c r="E74" i="6"/>
  <c r="F74" i="6"/>
  <c r="G74" i="6"/>
  <c r="C75" i="6"/>
  <c r="D75" i="6"/>
  <c r="E75" i="6"/>
  <c r="F75" i="6"/>
  <c r="G75" i="6"/>
  <c r="C76" i="6"/>
  <c r="D76" i="6"/>
  <c r="E76" i="6"/>
  <c r="F76" i="6"/>
  <c r="G76" i="6"/>
  <c r="C46" i="6"/>
  <c r="C47" i="6"/>
  <c r="C48" i="6"/>
  <c r="C49" i="6"/>
  <c r="C50" i="6"/>
  <c r="G46" i="6"/>
  <c r="G47" i="6"/>
  <c r="G48" i="6"/>
  <c r="G49" i="6"/>
  <c r="G50" i="6"/>
  <c r="F46" i="6"/>
  <c r="F47" i="6"/>
  <c r="F48" i="6"/>
  <c r="F49" i="6"/>
  <c r="F50" i="6"/>
  <c r="E46" i="6"/>
  <c r="E47" i="6"/>
  <c r="E48" i="6"/>
  <c r="E49" i="6"/>
  <c r="E50" i="6"/>
  <c r="D50" i="6"/>
  <c r="D49" i="6"/>
  <c r="D48" i="6"/>
  <c r="D47" i="6"/>
  <c r="D46" i="6"/>
  <c r="B50" i="6"/>
  <c r="B49" i="6"/>
  <c r="B48" i="6"/>
  <c r="B47" i="6"/>
  <c r="B46" i="6"/>
  <c r="H5" i="6"/>
  <c r="I5" i="6" s="1"/>
  <c r="H11" i="6"/>
  <c r="I11" i="6" s="1"/>
  <c r="H19" i="6"/>
  <c r="I19" i="6" s="1"/>
  <c r="H27" i="6"/>
  <c r="I27" i="6" s="1"/>
  <c r="H35" i="6"/>
  <c r="I35" i="6" s="1"/>
  <c r="K2" i="6"/>
  <c r="H3" i="6" s="1"/>
  <c r="I3" i="6" s="1"/>
  <c r="J42" i="6"/>
  <c r="G42" i="6"/>
  <c r="T35" i="6" s="1"/>
  <c r="F42" i="6"/>
  <c r="E42" i="6"/>
  <c r="D42" i="6"/>
  <c r="Q23" i="6" s="1"/>
  <c r="C42" i="6"/>
  <c r="B42" i="6"/>
  <c r="J41" i="6"/>
  <c r="G41" i="6"/>
  <c r="T38" i="6" s="1"/>
  <c r="F41" i="6"/>
  <c r="S22" i="6" s="1"/>
  <c r="E41" i="6"/>
  <c r="D41" i="6"/>
  <c r="C41" i="6"/>
  <c r="P37" i="6" s="1"/>
  <c r="B41" i="6"/>
  <c r="O14" i="6" s="1"/>
  <c r="T36" i="6"/>
  <c r="T31" i="6"/>
  <c r="T27" i="6"/>
  <c r="T23" i="6"/>
  <c r="O23" i="6"/>
  <c r="T20" i="6"/>
  <c r="S20" i="6"/>
  <c r="O19" i="6"/>
  <c r="T16" i="6"/>
  <c r="T13" i="6"/>
  <c r="S13" i="6"/>
  <c r="O11" i="6"/>
  <c r="T9" i="6"/>
  <c r="T6" i="6"/>
  <c r="S6" i="6"/>
  <c r="O3" i="6"/>
  <c r="T2" i="6"/>
  <c r="M4" i="5"/>
  <c r="B41" i="5"/>
  <c r="S3" i="6" l="1"/>
  <c r="O7" i="6"/>
  <c r="T10" i="6"/>
  <c r="S14" i="6"/>
  <c r="T17" i="6"/>
  <c r="S21" i="6"/>
  <c r="T24" i="6"/>
  <c r="T28" i="6"/>
  <c r="T32" i="6"/>
  <c r="S37" i="6"/>
  <c r="H33" i="6"/>
  <c r="I33" i="6" s="1"/>
  <c r="H25" i="6"/>
  <c r="I25" i="6" s="1"/>
  <c r="H17" i="6"/>
  <c r="I17" i="6" s="1"/>
  <c r="H9" i="6"/>
  <c r="I9" i="6" s="1"/>
  <c r="S36" i="6"/>
  <c r="H24" i="6"/>
  <c r="I24" i="6" s="1"/>
  <c r="S4" i="6"/>
  <c r="T7" i="6"/>
  <c r="S11" i="6"/>
  <c r="O15" i="6"/>
  <c r="T18" i="6"/>
  <c r="T25" i="6"/>
  <c r="T29" i="6"/>
  <c r="T33" i="6"/>
  <c r="H2" i="6"/>
  <c r="I2" i="6" s="1"/>
  <c r="H31" i="6"/>
  <c r="I31" i="6" s="1"/>
  <c r="H23" i="6"/>
  <c r="I23" i="6" s="1"/>
  <c r="H15" i="6"/>
  <c r="I15" i="6" s="1"/>
  <c r="H7" i="6"/>
  <c r="I7" i="6" s="1"/>
  <c r="S38" i="6"/>
  <c r="H34" i="6"/>
  <c r="I34" i="6" s="1"/>
  <c r="H10" i="6"/>
  <c r="I10" i="6" s="1"/>
  <c r="T3" i="6"/>
  <c r="T14" i="6"/>
  <c r="H16" i="6"/>
  <c r="I16" i="6" s="1"/>
  <c r="T4" i="6"/>
  <c r="S8" i="6"/>
  <c r="T11" i="6"/>
  <c r="S15" i="6"/>
  <c r="T22" i="6"/>
  <c r="S26" i="6"/>
  <c r="S30" i="6"/>
  <c r="T34" i="6"/>
  <c r="P7" i="6"/>
  <c r="H38" i="6"/>
  <c r="I38" i="6" s="1"/>
  <c r="H30" i="6"/>
  <c r="I30" i="6" s="1"/>
  <c r="H22" i="6"/>
  <c r="I22" i="6" s="1"/>
  <c r="H14" i="6"/>
  <c r="I14" i="6" s="1"/>
  <c r="H6" i="6"/>
  <c r="I6" i="6" s="1"/>
  <c r="S18" i="6"/>
  <c r="T21" i="6"/>
  <c r="S29" i="6"/>
  <c r="S33" i="6"/>
  <c r="T37" i="6"/>
  <c r="H32" i="6"/>
  <c r="I32" i="6" s="1"/>
  <c r="H8" i="6"/>
  <c r="I8" i="6" s="1"/>
  <c r="S5" i="6"/>
  <c r="S12" i="6"/>
  <c r="T30" i="6"/>
  <c r="S35" i="6"/>
  <c r="H37" i="6"/>
  <c r="I37" i="6" s="1"/>
  <c r="H29" i="6"/>
  <c r="I29" i="6" s="1"/>
  <c r="H21" i="6"/>
  <c r="I21" i="6" s="1"/>
  <c r="H13" i="6"/>
  <c r="I13" i="6" s="1"/>
  <c r="H4" i="6"/>
  <c r="I4" i="6" s="1"/>
  <c r="H39" i="6"/>
  <c r="I39" i="6" s="1"/>
  <c r="S10" i="6"/>
  <c r="S17" i="6"/>
  <c r="S24" i="6"/>
  <c r="S28" i="6"/>
  <c r="S32" i="6"/>
  <c r="H26" i="6"/>
  <c r="I26" i="6" s="1"/>
  <c r="H18" i="6"/>
  <c r="I18" i="6" s="1"/>
  <c r="S7" i="6"/>
  <c r="S25" i="6"/>
  <c r="T8" i="6"/>
  <c r="T15" i="6"/>
  <c r="S19" i="6"/>
  <c r="T26" i="6"/>
  <c r="S2" i="6"/>
  <c r="T5" i="6"/>
  <c r="S9" i="6"/>
  <c r="T12" i="6"/>
  <c r="S16" i="6"/>
  <c r="T19" i="6"/>
  <c r="S23" i="6"/>
  <c r="S27" i="6"/>
  <c r="S31" i="6"/>
  <c r="Q38" i="6"/>
  <c r="R38" i="6"/>
  <c r="H36" i="6"/>
  <c r="I36" i="6" s="1"/>
  <c r="H28" i="6"/>
  <c r="I28" i="6" s="1"/>
  <c r="H20" i="6"/>
  <c r="I20" i="6" s="1"/>
  <c r="H12" i="6"/>
  <c r="I12" i="6" s="1"/>
  <c r="R9" i="6"/>
  <c r="Q20" i="6"/>
  <c r="Q24" i="6"/>
  <c r="Q32" i="6"/>
  <c r="Q36" i="6"/>
  <c r="P11" i="6"/>
  <c r="Q31" i="6"/>
  <c r="R6" i="6"/>
  <c r="O4" i="6"/>
  <c r="Q5" i="6"/>
  <c r="O8" i="6"/>
  <c r="Q9" i="6"/>
  <c r="O12" i="6"/>
  <c r="Q13" i="6"/>
  <c r="O16" i="6"/>
  <c r="Q17" i="6"/>
  <c r="O20" i="6"/>
  <c r="Q21" i="6"/>
  <c r="O24" i="6"/>
  <c r="Q25" i="6"/>
  <c r="O28" i="6"/>
  <c r="Q29" i="6"/>
  <c r="O32" i="6"/>
  <c r="Q33" i="6"/>
  <c r="S34" i="6"/>
  <c r="O36" i="6"/>
  <c r="Q37" i="6"/>
  <c r="P4" i="6"/>
  <c r="P12" i="6"/>
  <c r="R13" i="6"/>
  <c r="P16" i="6"/>
  <c r="R17" i="6"/>
  <c r="P20" i="6"/>
  <c r="R21" i="6"/>
  <c r="P24" i="6"/>
  <c r="R25" i="6"/>
  <c r="P28" i="6"/>
  <c r="R29" i="6"/>
  <c r="P32" i="6"/>
  <c r="R33" i="6"/>
  <c r="P36" i="6"/>
  <c r="R37" i="6"/>
  <c r="R5" i="6"/>
  <c r="Q4" i="6"/>
  <c r="Q28" i="6"/>
  <c r="O35" i="6"/>
  <c r="R4" i="6"/>
  <c r="R8" i="6"/>
  <c r="P19" i="6"/>
  <c r="P23" i="6"/>
  <c r="R32" i="6"/>
  <c r="P35" i="6"/>
  <c r="Q3" i="6"/>
  <c r="Q7" i="6"/>
  <c r="Q11" i="6"/>
  <c r="Q15" i="6"/>
  <c r="Q19" i="6"/>
  <c r="O22" i="6"/>
  <c r="O26" i="6"/>
  <c r="O30" i="6"/>
  <c r="O34" i="6"/>
  <c r="O38" i="6"/>
  <c r="P2" i="6"/>
  <c r="R3" i="6"/>
  <c r="P6" i="6"/>
  <c r="R7" i="6"/>
  <c r="P10" i="6"/>
  <c r="R11" i="6"/>
  <c r="P14" i="6"/>
  <c r="R15" i="6"/>
  <c r="P18" i="6"/>
  <c r="R19" i="6"/>
  <c r="P22" i="6"/>
  <c r="R23" i="6"/>
  <c r="P26" i="6"/>
  <c r="R27" i="6"/>
  <c r="P30" i="6"/>
  <c r="R31" i="6"/>
  <c r="P34" i="6"/>
  <c r="R35" i="6"/>
  <c r="P38" i="6"/>
  <c r="P15" i="6"/>
  <c r="R28" i="6"/>
  <c r="R36" i="6"/>
  <c r="O18" i="6"/>
  <c r="Q27" i="6"/>
  <c r="Q35" i="6"/>
  <c r="Q2" i="6"/>
  <c r="O5" i="6"/>
  <c r="Q6" i="6"/>
  <c r="O9" i="6"/>
  <c r="Q10" i="6"/>
  <c r="O13" i="6"/>
  <c r="Q14" i="6"/>
  <c r="O17" i="6"/>
  <c r="Q18" i="6"/>
  <c r="O21" i="6"/>
  <c r="Q22" i="6"/>
  <c r="O25" i="6"/>
  <c r="Q26" i="6"/>
  <c r="O29" i="6"/>
  <c r="Q30" i="6"/>
  <c r="O33" i="6"/>
  <c r="Q34" i="6"/>
  <c r="O37" i="6"/>
  <c r="P8" i="6"/>
  <c r="Q8" i="6"/>
  <c r="Q12" i="6"/>
  <c r="Q16" i="6"/>
  <c r="O27" i="6"/>
  <c r="O31" i="6"/>
  <c r="P3" i="6"/>
  <c r="R12" i="6"/>
  <c r="R16" i="6"/>
  <c r="R20" i="6"/>
  <c r="R24" i="6"/>
  <c r="P27" i="6"/>
  <c r="P31" i="6"/>
  <c r="O2" i="6"/>
  <c r="O6" i="6"/>
  <c r="O10" i="6"/>
  <c r="R2" i="6"/>
  <c r="P5" i="6"/>
  <c r="P9" i="6"/>
  <c r="R10" i="6"/>
  <c r="P13" i="6"/>
  <c r="R14" i="6"/>
  <c r="P17" i="6"/>
  <c r="R18" i="6"/>
  <c r="P21" i="6"/>
  <c r="R22" i="6"/>
  <c r="P25" i="6"/>
  <c r="R26" i="6"/>
  <c r="P29" i="6"/>
  <c r="R30" i="6"/>
  <c r="P33" i="6"/>
  <c r="R34" i="6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2" i="5"/>
  <c r="M3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2" i="5"/>
  <c r="H42" i="5"/>
  <c r="G42" i="5"/>
  <c r="F42" i="5"/>
  <c r="E42" i="5"/>
  <c r="D42" i="5"/>
  <c r="C42" i="5"/>
  <c r="B42" i="5"/>
  <c r="H41" i="5"/>
  <c r="G41" i="5"/>
  <c r="F41" i="5"/>
  <c r="E41" i="5"/>
  <c r="D41" i="5"/>
  <c r="C41" i="5"/>
  <c r="C59" i="6" l="1"/>
  <c r="C55" i="6"/>
  <c r="C60" i="6"/>
  <c r="C54" i="6"/>
</calcChain>
</file>

<file path=xl/sharedStrings.xml><?xml version="1.0" encoding="utf-8"?>
<sst xmlns="http://schemas.openxmlformats.org/spreadsheetml/2006/main" count="1169" uniqueCount="124">
  <si>
    <t>Estonia</t>
  </si>
  <si>
    <t>MNE</t>
  </si>
  <si>
    <t>Country Code</t>
  </si>
  <si>
    <t>IRL</t>
  </si>
  <si>
    <t>MKD</t>
  </si>
  <si>
    <t>NE.IMP.GNFS.ZS</t>
  </si>
  <si>
    <t>United Kingdom</t>
  </si>
  <si>
    <t>Czechia</t>
  </si>
  <si>
    <t>FIN</t>
  </si>
  <si>
    <t>BEL</t>
  </si>
  <si>
    <t>NY.GDP.PCAP.CD</t>
  </si>
  <si>
    <t>Ireland</t>
  </si>
  <si>
    <t>GDP per capita (current US$)</t>
  </si>
  <si>
    <t>SVN</t>
  </si>
  <si>
    <t>Portugal</t>
  </si>
  <si>
    <t>Italy</t>
  </si>
  <si>
    <t>ESP</t>
  </si>
  <si>
    <t>Last Updated: 04/08/2026</t>
  </si>
  <si>
    <t>ALB</t>
  </si>
  <si>
    <t>Albania</t>
  </si>
  <si>
    <t>Slovak Republic</t>
  </si>
  <si>
    <t>CZE</t>
  </si>
  <si>
    <t>BGR</t>
  </si>
  <si>
    <t>Serbia</t>
  </si>
  <si>
    <t>SWE</t>
  </si>
  <si>
    <t>POL</t>
  </si>
  <si>
    <t>SP.DYN.LE00.IN</t>
  </si>
  <si>
    <t>Series Code</t>
  </si>
  <si>
    <t>Data from database: World Development Indicators</t>
  </si>
  <si>
    <t>UKR</t>
  </si>
  <si>
    <t>ISL</t>
  </si>
  <si>
    <t>Country Name</t>
  </si>
  <si>
    <t>Finland</t>
  </si>
  <si>
    <t>Imports of goods and services (% of GDP)</t>
  </si>
  <si>
    <t>Cyprus</t>
  </si>
  <si>
    <t>Iceland</t>
  </si>
  <si>
    <t>Switzerland</t>
  </si>
  <si>
    <t>Lithuania</t>
  </si>
  <si>
    <t>FRA</t>
  </si>
  <si>
    <t>NOR</t>
  </si>
  <si>
    <t>GRC</t>
  </si>
  <si>
    <t>2024 [YR2024]</t>
  </si>
  <si>
    <t>SVK</t>
  </si>
  <si>
    <t>North Macedonia</t>
  </si>
  <si>
    <t>Exports of goods and services (% of GDP)</t>
  </si>
  <si>
    <t>Greece</t>
  </si>
  <si>
    <t>SP.POP.GROW</t>
  </si>
  <si>
    <t>Romania</t>
  </si>
  <si>
    <t>Moldova</t>
  </si>
  <si>
    <t>GBR</t>
  </si>
  <si>
    <t>LTU</t>
  </si>
  <si>
    <t>Croatia</t>
  </si>
  <si>
    <t>Inflation, consumer prices (annual %)</t>
  </si>
  <si>
    <t>Bosnia and Herzegovina</t>
  </si>
  <si>
    <t>Montenegro</t>
  </si>
  <si>
    <t>Slovenia</t>
  </si>
  <si>
    <t>Luxembourg</t>
  </si>
  <si>
    <t>France</t>
  </si>
  <si>
    <t>Latvia</t>
  </si>
  <si>
    <t>NLD</t>
  </si>
  <si>
    <t>Population growth (annual %)</t>
  </si>
  <si>
    <t>Hungary</t>
  </si>
  <si>
    <t>FP.CPI.TOTL.ZG</t>
  </si>
  <si>
    <t>LUX</t>
  </si>
  <si>
    <t>Spain</t>
  </si>
  <si>
    <t>Belgium</t>
  </si>
  <si>
    <t>Norway</t>
  </si>
  <si>
    <t>PRT</t>
  </si>
  <si>
    <t>ITA</t>
  </si>
  <si>
    <t>HUN</t>
  </si>
  <si>
    <t>Series Name</t>
  </si>
  <si>
    <t>DEU</t>
  </si>
  <si>
    <t>Denmark</t>
  </si>
  <si>
    <t>DNK</t>
  </si>
  <si>
    <t>AUT</t>
  </si>
  <si>
    <t>Life expectancy at birth, total (years)</t>
  </si>
  <si>
    <t>SRB</t>
  </si>
  <si>
    <t>MDA</t>
  </si>
  <si>
    <t>Bulgaria</t>
  </si>
  <si>
    <t>BIH</t>
  </si>
  <si>
    <t>EST</t>
  </si>
  <si>
    <t>Ukraine</t>
  </si>
  <si>
    <t>ROU</t>
  </si>
  <si>
    <t>Sweden</t>
  </si>
  <si>
    <t>HRV</t>
  </si>
  <si>
    <t>Austria</t>
  </si>
  <si>
    <t>LVA</t>
  </si>
  <si>
    <t>Poland</t>
  </si>
  <si>
    <t>CYP</t>
  </si>
  <si>
    <t>Netherlands</t>
  </si>
  <si>
    <t>CHE</t>
  </si>
  <si>
    <t>NE.EXP.GNFS.ZS</t>
  </si>
  <si>
    <t>Germany</t>
  </si>
  <si>
    <t>Названия строк</t>
  </si>
  <si>
    <t>Общий итог</t>
  </si>
  <si>
    <t>СУМА 2024</t>
  </si>
  <si>
    <t>Назва</t>
  </si>
  <si>
    <t>Країна</t>
  </si>
  <si>
    <t>Сума</t>
  </si>
  <si>
    <t>Середнє значення</t>
  </si>
  <si>
    <t>Відхилення</t>
  </si>
  <si>
    <t>Class</t>
  </si>
  <si>
    <t>Target</t>
  </si>
  <si>
    <t>Median_GDP</t>
  </si>
  <si>
    <t>Показник</t>
  </si>
  <si>
    <t>Exports</t>
  </si>
  <si>
    <t>Imports</t>
  </si>
  <si>
    <t>Inflation</t>
  </si>
  <si>
    <t>LifeExp</t>
  </si>
  <si>
    <t>PopGrowth</t>
  </si>
  <si>
    <t>GDP_pc</t>
  </si>
  <si>
    <t>Mean</t>
  </si>
  <si>
    <t>Median</t>
  </si>
  <si>
    <t>Min</t>
  </si>
  <si>
    <t>Max</t>
  </si>
  <si>
    <t>Std Dev</t>
  </si>
  <si>
    <t>Count</t>
  </si>
  <si>
    <t>High GDP</t>
  </si>
  <si>
    <t>Low GDP</t>
  </si>
  <si>
    <t>4</t>
  </si>
  <si>
    <t>5</t>
  </si>
  <si>
    <t>6</t>
  </si>
  <si>
    <t>7</t>
  </si>
  <si>
    <t>Avg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</si>
</sst>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Class!$C$53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Class!$B$54:$B$55</c:f>
              <c:strCache>
                <c:ptCount val="2"/>
                <c:pt idx="0">
                  <c:v>High GDP</c:v>
                </c:pt>
                <c:pt idx="1">
                  <c:v>Low GDP</c:v>
                </c:pt>
              </c:strCache>
            </c:strRef>
          </c:cat>
          <c:val>
            <c:numRef>
              <c:f>Class!$C$54:$C$55</c:f>
              <c:numCache>
                <c:formatCode>General</c:formatCode>
                <c:ptCount val="2"/>
                <c:pt idx="0">
                  <c:v>19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E-422B-8EB9-EA4D4B007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0269424"/>
        <c:axId val="390272376"/>
      </c:barChart>
      <c:catAx>
        <c:axId val="39026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90272376"/>
        <c:crosses val="autoZero"/>
        <c:auto val="1"/>
        <c:lblAlgn val="ctr"/>
        <c:lblOffset val="100"/>
        <c:noMultiLvlLbl val="0"/>
      </c:catAx>
      <c:valAx>
        <c:axId val="39027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9026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Залежність </a:t>
            </a:r>
            <a:r>
              <a:rPr lang="en-US" sz="1400" b="0" i="0" u="none" strike="noStrike" baseline="0"/>
              <a:t>GDP per capita </a:t>
            </a:r>
            <a:r>
              <a:rPr lang="uk-UA" sz="1400" b="0" i="0" u="none" strike="noStrike" baseline="0"/>
              <a:t>від тривалості життя</a:t>
            </a:r>
            <a:endParaRPr lang="uk-U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Class!$C$2:$C$38</c:f>
              <c:numCache>
                <c:formatCode>General</c:formatCode>
                <c:ptCount val="37"/>
                <c:pt idx="0">
                  <c:v>11377.775743109876</c:v>
                </c:pt>
                <c:pt idx="1">
                  <c:v>58268.878765160116</c:v>
                </c:pt>
                <c:pt idx="2">
                  <c:v>56614.567949903583</c:v>
                </c:pt>
                <c:pt idx="3">
                  <c:v>9358.7876895113404</c:v>
                </c:pt>
                <c:pt idx="4">
                  <c:v>17596.017366352113</c:v>
                </c:pt>
                <c:pt idx="5">
                  <c:v>24050.439793313548</c:v>
                </c:pt>
                <c:pt idx="6">
                  <c:v>38674.29296875</c:v>
                </c:pt>
                <c:pt idx="7">
                  <c:v>31823.307829056383</c:v>
                </c:pt>
                <c:pt idx="8">
                  <c:v>71026.483227189703</c:v>
                </c:pt>
                <c:pt idx="9">
                  <c:v>31428.354781610396</c:v>
                </c:pt>
                <c:pt idx="10">
                  <c:v>53149.767193405052</c:v>
                </c:pt>
                <c:pt idx="11">
                  <c:v>46103.084085588387</c:v>
                </c:pt>
                <c:pt idx="12">
                  <c:v>56103.732318255446</c:v>
                </c:pt>
                <c:pt idx="13">
                  <c:v>24626.148185897262</c:v>
                </c:pt>
                <c:pt idx="14">
                  <c:v>23292.326388247828</c:v>
                </c:pt>
                <c:pt idx="15">
                  <c:v>86040.530985128789</c:v>
                </c:pt>
                <c:pt idx="16">
                  <c:v>112894.95324080539</c:v>
                </c:pt>
                <c:pt idx="17">
                  <c:v>40385.341395766904</c:v>
                </c:pt>
                <c:pt idx="18">
                  <c:v>23409.084515477498</c:v>
                </c:pt>
                <c:pt idx="19">
                  <c:v>29384.018959866335</c:v>
                </c:pt>
                <c:pt idx="20">
                  <c:v>137781.68165912307</c:v>
                </c:pt>
                <c:pt idx="21">
                  <c:v>7576.195894133255</c:v>
                </c:pt>
                <c:pt idx="22">
                  <c:v>13263.328127769921</c:v>
                </c:pt>
                <c:pt idx="23">
                  <c:v>67520.421895628111</c:v>
                </c:pt>
                <c:pt idx="24">
                  <c:v>9291.85661671864</c:v>
                </c:pt>
                <c:pt idx="25">
                  <c:v>86785.433448917611</c:v>
                </c:pt>
                <c:pt idx="26">
                  <c:v>25103.56566142297</c:v>
                </c:pt>
                <c:pt idx="27">
                  <c:v>29292.242104753037</c:v>
                </c:pt>
                <c:pt idx="28">
                  <c:v>20080.209621559497</c:v>
                </c:pt>
                <c:pt idx="29">
                  <c:v>13679.206598355697</c:v>
                </c:pt>
                <c:pt idx="30">
                  <c:v>25992.674850204778</c:v>
                </c:pt>
                <c:pt idx="31">
                  <c:v>34301.031868659353</c:v>
                </c:pt>
                <c:pt idx="32">
                  <c:v>35326.768306927806</c:v>
                </c:pt>
                <c:pt idx="33">
                  <c:v>57117.487744061626</c:v>
                </c:pt>
                <c:pt idx="34">
                  <c:v>103998.18668560409</c:v>
                </c:pt>
                <c:pt idx="35">
                  <c:v>5389.47314453125</c:v>
                </c:pt>
                <c:pt idx="36">
                  <c:v>53246.367614510847</c:v>
                </c:pt>
              </c:numCache>
            </c:numRef>
          </c:xVal>
          <c:yVal>
            <c:numRef>
              <c:f>Class!$F$2:$F$38</c:f>
              <c:numCache>
                <c:formatCode>General</c:formatCode>
                <c:ptCount val="37"/>
                <c:pt idx="0">
                  <c:v>79.775999999999996</c:v>
                </c:pt>
                <c:pt idx="1">
                  <c:v>81.995121951219517</c:v>
                </c:pt>
                <c:pt idx="2">
                  <c:v>82.300000000000011</c:v>
                </c:pt>
                <c:pt idx="3">
                  <c:v>78.043999999999997</c:v>
                </c:pt>
                <c:pt idx="4">
                  <c:v>75.760975609756102</c:v>
                </c:pt>
                <c:pt idx="5">
                  <c:v>78.929268292682934</c:v>
                </c:pt>
                <c:pt idx="6">
                  <c:v>81.820999999999998</c:v>
                </c:pt>
                <c:pt idx="7">
                  <c:v>79.978048780487811</c:v>
                </c:pt>
                <c:pt idx="8">
                  <c:v>82.253658536585377</c:v>
                </c:pt>
                <c:pt idx="9">
                  <c:v>79.295121951219528</c:v>
                </c:pt>
                <c:pt idx="10">
                  <c:v>82.336585365853679</c:v>
                </c:pt>
                <c:pt idx="11">
                  <c:v>82.980487804878067</c:v>
                </c:pt>
                <c:pt idx="12">
                  <c:v>80.792682926829272</c:v>
                </c:pt>
                <c:pt idx="13">
                  <c:v>81.839024390243921</c:v>
                </c:pt>
                <c:pt idx="14">
                  <c:v>76.724390243902462</c:v>
                </c:pt>
                <c:pt idx="15">
                  <c:v>82.809756097560978</c:v>
                </c:pt>
                <c:pt idx="16">
                  <c:v>83.009756097560995</c:v>
                </c:pt>
                <c:pt idx="17">
                  <c:v>83.951219512195138</c:v>
                </c:pt>
                <c:pt idx="18">
                  <c:v>76.429268292682934</c:v>
                </c:pt>
                <c:pt idx="19">
                  <c:v>77.195121951219519</c:v>
                </c:pt>
                <c:pt idx="20">
                  <c:v>83.195121951219519</c:v>
                </c:pt>
                <c:pt idx="21">
                  <c:v>71.331999999999994</c:v>
                </c:pt>
                <c:pt idx="22">
                  <c:v>77.890243902439039</c:v>
                </c:pt>
                <c:pt idx="23">
                  <c:v>81.965853658536588</c:v>
                </c:pt>
                <c:pt idx="24">
                  <c:v>76.61658536585368</c:v>
                </c:pt>
                <c:pt idx="25">
                  <c:v>83.160975609756093</c:v>
                </c:pt>
                <c:pt idx="26">
                  <c:v>78.409756097560987</c:v>
                </c:pt>
                <c:pt idx="27">
                  <c:v>82.3829268292683</c:v>
                </c:pt>
                <c:pt idx="28">
                  <c:v>76.458536585365863</c:v>
                </c:pt>
                <c:pt idx="29">
                  <c:v>75.968292682926844</c:v>
                </c:pt>
                <c:pt idx="30">
                  <c:v>78.370731707317091</c:v>
                </c:pt>
                <c:pt idx="31">
                  <c:v>82.285365853658547</c:v>
                </c:pt>
                <c:pt idx="32">
                  <c:v>83.887804878048797</c:v>
                </c:pt>
                <c:pt idx="33">
                  <c:v>84.063414634146341</c:v>
                </c:pt>
                <c:pt idx="34">
                  <c:v>84.407317073170745</c:v>
                </c:pt>
                <c:pt idx="35">
                  <c:v>74.691999999999993</c:v>
                </c:pt>
                <c:pt idx="36">
                  <c:v>81.386853658536594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B-4271-854F-701B48F63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750856"/>
        <c:axId val="393752496"/>
      </c:scatterChart>
      <c:valAx>
        <c:axId val="39375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93752496"/>
        <c:crosses val="autoZero"/>
        <c:crossBetween val="midCat"/>
      </c:valAx>
      <c:valAx>
        <c:axId val="39375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93750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Залежність </a:t>
            </a:r>
            <a:r>
              <a:rPr lang="en-US" sz="1400" b="0" i="0" u="none" strike="noStrike" baseline="0"/>
              <a:t>GDP per capita </a:t>
            </a:r>
            <a:r>
              <a:rPr lang="uk-UA" sz="1400" b="0" i="0" u="none" strike="noStrike" baseline="0"/>
              <a:t>від експорту</a:t>
            </a:r>
            <a:endParaRPr lang="uk-U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Class!$B$2:$B$38</c:f>
              <c:numCache>
                <c:formatCode>General</c:formatCode>
                <c:ptCount val="37"/>
                <c:pt idx="0">
                  <c:v>36.284868535146515</c:v>
                </c:pt>
                <c:pt idx="1">
                  <c:v>55.678285085164134</c:v>
                </c:pt>
                <c:pt idx="2">
                  <c:v>79.273086411473159</c:v>
                </c:pt>
                <c:pt idx="3">
                  <c:v>40.872841121631545</c:v>
                </c:pt>
                <c:pt idx="4">
                  <c:v>56.369962084093814</c:v>
                </c:pt>
                <c:pt idx="5">
                  <c:v>50.141089194988943</c:v>
                </c:pt>
                <c:pt idx="6">
                  <c:v>97.020235938456324</c:v>
                </c:pt>
                <c:pt idx="7">
                  <c:v>68.868151448324895</c:v>
                </c:pt>
                <c:pt idx="8">
                  <c:v>71.002013204304575</c:v>
                </c:pt>
                <c:pt idx="9">
                  <c:v>75.669483321314246</c:v>
                </c:pt>
                <c:pt idx="10">
                  <c:v>41.907791986606902</c:v>
                </c:pt>
                <c:pt idx="11">
                  <c:v>33.889754234383176</c:v>
                </c:pt>
                <c:pt idx="12">
                  <c:v>41.434059372090822</c:v>
                </c:pt>
                <c:pt idx="13">
                  <c:v>42.111678322050224</c:v>
                </c:pt>
                <c:pt idx="14">
                  <c:v>75.390890277712558</c:v>
                </c:pt>
                <c:pt idx="15">
                  <c:v>42.451986287291319</c:v>
                </c:pt>
                <c:pt idx="16">
                  <c:v>143.98460166103095</c:v>
                </c:pt>
                <c:pt idx="17">
                  <c:v>32.505041554007022</c:v>
                </c:pt>
                <c:pt idx="18">
                  <c:v>65.334130371427975</c:v>
                </c:pt>
                <c:pt idx="19">
                  <c:v>74.113980754518366</c:v>
                </c:pt>
                <c:pt idx="20">
                  <c:v>191.53297018761137</c:v>
                </c:pt>
                <c:pt idx="21">
                  <c:v>31.413547115249891</c:v>
                </c:pt>
                <c:pt idx="22">
                  <c:v>43.74708296343379</c:v>
                </c:pt>
                <c:pt idx="23">
                  <c:v>82.430360485327299</c:v>
                </c:pt>
                <c:pt idx="24">
                  <c:v>61.679203747961672</c:v>
                </c:pt>
                <c:pt idx="25">
                  <c:v>47.491709011612585</c:v>
                </c:pt>
                <c:pt idx="26">
                  <c:v>52.179813391901099</c:v>
                </c:pt>
                <c:pt idx="27">
                  <c:v>45.771725043315008</c:v>
                </c:pt>
                <c:pt idx="28">
                  <c:v>35.603026699946504</c:v>
                </c:pt>
                <c:pt idx="29">
                  <c:v>53.583766709022605</c:v>
                </c:pt>
                <c:pt idx="30">
                  <c:v>85.483498956127875</c:v>
                </c:pt>
                <c:pt idx="31">
                  <c:v>80.917389492035696</c:v>
                </c:pt>
                <c:pt idx="32">
                  <c:v>37.055879272170756</c:v>
                </c:pt>
                <c:pt idx="33">
                  <c:v>54.309580972447122</c:v>
                </c:pt>
                <c:pt idx="34">
                  <c:v>72.15894476679054</c:v>
                </c:pt>
                <c:pt idx="35">
                  <c:v>29.410213981324929</c:v>
                </c:pt>
                <c:pt idx="36">
                  <c:v>30.984158840168845</c:v>
                </c:pt>
              </c:numCache>
            </c:numRef>
          </c:xVal>
          <c:yVal>
            <c:numRef>
              <c:f>Class!$C$2:$C$38</c:f>
              <c:numCache>
                <c:formatCode>General</c:formatCode>
                <c:ptCount val="37"/>
                <c:pt idx="0">
                  <c:v>11377.775743109876</c:v>
                </c:pt>
                <c:pt idx="1">
                  <c:v>58268.878765160116</c:v>
                </c:pt>
                <c:pt idx="2">
                  <c:v>56614.567949903583</c:v>
                </c:pt>
                <c:pt idx="3">
                  <c:v>9358.7876895113404</c:v>
                </c:pt>
                <c:pt idx="4">
                  <c:v>17596.017366352113</c:v>
                </c:pt>
                <c:pt idx="5">
                  <c:v>24050.439793313548</c:v>
                </c:pt>
                <c:pt idx="6">
                  <c:v>38674.29296875</c:v>
                </c:pt>
                <c:pt idx="7">
                  <c:v>31823.307829056383</c:v>
                </c:pt>
                <c:pt idx="8">
                  <c:v>71026.483227189703</c:v>
                </c:pt>
                <c:pt idx="9">
                  <c:v>31428.354781610396</c:v>
                </c:pt>
                <c:pt idx="10">
                  <c:v>53149.767193405052</c:v>
                </c:pt>
                <c:pt idx="11">
                  <c:v>46103.084085588387</c:v>
                </c:pt>
                <c:pt idx="12">
                  <c:v>56103.732318255446</c:v>
                </c:pt>
                <c:pt idx="13">
                  <c:v>24626.148185897262</c:v>
                </c:pt>
                <c:pt idx="14">
                  <c:v>23292.326388247828</c:v>
                </c:pt>
                <c:pt idx="15">
                  <c:v>86040.530985128789</c:v>
                </c:pt>
                <c:pt idx="16">
                  <c:v>112894.95324080539</c:v>
                </c:pt>
                <c:pt idx="17">
                  <c:v>40385.341395766904</c:v>
                </c:pt>
                <c:pt idx="18">
                  <c:v>23409.084515477498</c:v>
                </c:pt>
                <c:pt idx="19">
                  <c:v>29384.018959866335</c:v>
                </c:pt>
                <c:pt idx="20">
                  <c:v>137781.68165912307</c:v>
                </c:pt>
                <c:pt idx="21">
                  <c:v>7576.195894133255</c:v>
                </c:pt>
                <c:pt idx="22">
                  <c:v>13263.328127769921</c:v>
                </c:pt>
                <c:pt idx="23">
                  <c:v>67520.421895628111</c:v>
                </c:pt>
                <c:pt idx="24">
                  <c:v>9291.85661671864</c:v>
                </c:pt>
                <c:pt idx="25">
                  <c:v>86785.433448917611</c:v>
                </c:pt>
                <c:pt idx="26">
                  <c:v>25103.56566142297</c:v>
                </c:pt>
                <c:pt idx="27">
                  <c:v>29292.242104753037</c:v>
                </c:pt>
                <c:pt idx="28">
                  <c:v>20080.209621559497</c:v>
                </c:pt>
                <c:pt idx="29">
                  <c:v>13679.206598355697</c:v>
                </c:pt>
                <c:pt idx="30">
                  <c:v>25992.674850204778</c:v>
                </c:pt>
                <c:pt idx="31">
                  <c:v>34301.031868659353</c:v>
                </c:pt>
                <c:pt idx="32">
                  <c:v>35326.768306927806</c:v>
                </c:pt>
                <c:pt idx="33">
                  <c:v>57117.487744061626</c:v>
                </c:pt>
                <c:pt idx="34">
                  <c:v>103998.18668560409</c:v>
                </c:pt>
                <c:pt idx="35">
                  <c:v>5389.47314453125</c:v>
                </c:pt>
                <c:pt idx="36">
                  <c:v>53246.367614510847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C2-41EA-9F31-2ED765005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68440"/>
        <c:axId val="390267128"/>
      </c:scatterChart>
      <c:valAx>
        <c:axId val="390268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90267128"/>
        <c:crosses val="autoZero"/>
        <c:crossBetween val="midCat"/>
      </c:valAx>
      <c:valAx>
        <c:axId val="39026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90268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u="none" strike="noStrike" baseline="0"/>
              <a:t>Середній рівень інфляції за класами країн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Class!$C$58</c:f>
              <c:strCache>
                <c:ptCount val="1"/>
                <c:pt idx="0">
                  <c:v>Avg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Class!$B$59:$B$60</c:f>
              <c:strCache>
                <c:ptCount val="2"/>
                <c:pt idx="0">
                  <c:v>High GDP</c:v>
                </c:pt>
                <c:pt idx="1">
                  <c:v>Low GDP</c:v>
                </c:pt>
              </c:strCache>
            </c:strRef>
          </c:cat>
          <c:val>
            <c:numRef>
              <c:f>Class!$C$59:$C$60</c:f>
              <c:numCache>
                <c:formatCode>General</c:formatCode>
                <c:ptCount val="2"/>
                <c:pt idx="0">
                  <c:v>2.4692926224913454</c:v>
                </c:pt>
                <c:pt idx="1">
                  <c:v>3.257482808222822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9-4EB8-9C1E-54E331478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799984"/>
        <c:axId val="532801296"/>
      </c:barChart>
      <c:catAx>
        <c:axId val="53279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32801296"/>
        <c:crosses val="autoZero"/>
        <c:auto val="1"/>
        <c:lblAlgn val="ctr"/>
        <c:lblOffset val="100"/>
        <c:noMultiLvlLbl val="0"/>
      </c:catAx>
      <c:valAx>
        <c:axId val="532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3279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842156</xdr:colOff>
      <xdr:row>51</xdr:row>
      <xdr:rowOff>49343</xdr:rowOff>
    </xdr:from>
    <xdr:to>
      <xdr:col>9</xdr:col>
      <xdr:colOff>219647</xdr:colOff>
      <xdr:row>65</xdr:row>
      <xdr:rowOff>169264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687624</xdr:colOff>
      <xdr:row>50</xdr:row>
      <xdr:rowOff>35106</xdr:rowOff>
    </xdr:from>
    <xdr:to>
      <xdr:col>21</xdr:col>
      <xdr:colOff>171601</xdr:colOff>
      <xdr:row>65</xdr:row>
      <xdr:rowOff>12983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460374</xdr:colOff>
      <xdr:row>50</xdr:row>
      <xdr:rowOff>51858</xdr:rowOff>
    </xdr:from>
    <xdr:to>
      <xdr:col>29</xdr:col>
      <xdr:colOff>121708</xdr:colOff>
      <xdr:row>65</xdr:row>
      <xdr:rowOff>96308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502707</xdr:colOff>
      <xdr:row>51</xdr:row>
      <xdr:rowOff>41275</xdr:rowOff>
    </xdr:from>
    <xdr:to>
      <xdr:col>15</xdr:col>
      <xdr:colOff>333374</xdr:colOff>
      <xdr:row>66</xdr:row>
      <xdr:rowOff>85725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ьзователь Windows" refreshedDate="46130.592780092593" createdVersion="8" refreshedVersion="8" minRefreshableVersion="3" recordCount="222">
  <cacheSource type="worksheet">
    <worksheetSource ref="A1:E223" sheet="Data"/>
  </cacheSource>
  <cacheFields count="5">
    <cacheField name="Country Name" numFmtId="0">
      <sharedItems count="37">
        <s v="Albania"/>
        <s v="Austria"/>
        <s v="Belgium"/>
        <s v="Bosnia and Herzegovina"/>
        <s v="Bulgaria"/>
        <s v="Croatia"/>
        <s v="Cyprus"/>
        <s v="Czechia"/>
        <s v="Denmark"/>
        <s v="Estonia"/>
        <s v="Finland"/>
        <s v="France"/>
        <s v="Germany"/>
        <s v="Greece"/>
        <s v="Hungary"/>
        <s v="Iceland"/>
        <s v="Ireland"/>
        <s v="Italy"/>
        <s v="Latvia"/>
        <s v="Lithuania"/>
        <s v="Luxembourg"/>
        <s v="Moldova"/>
        <s v="Montenegro"/>
        <s v="Netherlands"/>
        <s v="North Macedonia"/>
        <s v="Norway"/>
        <s v="Poland"/>
        <s v="Portugal"/>
        <s v="Romania"/>
        <s v="Serbia"/>
        <s v="Slovak Republic"/>
        <s v="Slovenia"/>
        <s v="Spain"/>
        <s v="Sweden"/>
        <s v="Switzerland"/>
        <s v="Ukraine"/>
        <s v="United Kingdom"/>
      </sharedItems>
    </cacheField>
    <cacheField name="Country Code" numFmtId="49">
      <sharedItems/>
    </cacheField>
    <cacheField name="Series Name" numFmtId="0">
      <sharedItems count="6">
        <s v="GDP per capita (current US$)"/>
        <s v="Inflation, consumer prices (annual %)"/>
        <s v="Exports of goods and services (% of GDP)"/>
        <s v="Imports of goods and services (% of GDP)"/>
        <s v="Life expectancy at birth, total (years)"/>
        <s v="Population growth (annual %)"/>
      </sharedItems>
    </cacheField>
    <cacheField name="Series Code" numFmtId="49">
      <sharedItems/>
    </cacheField>
    <cacheField name="2024 [YR2024]" numFmtId="0">
      <sharedItems containsSemiMixedTypes="0" containsString="0" containsNumber="1" minValue="-2.2830614707263699" maxValue="137781.68165912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x v="0"/>
    <s v="ALB"/>
    <x v="0"/>
    <s v="NY.GDP.PCAP.CD"/>
    <n v="11377.775743109876"/>
  </r>
  <r>
    <x v="0"/>
    <s v="ALB"/>
    <x v="1"/>
    <s v="FP.CPI.TOTL.ZG"/>
    <n v="2.21587375089991"/>
  </r>
  <r>
    <x v="0"/>
    <s v="ALB"/>
    <x v="2"/>
    <s v="NE.EXP.GNFS.ZS"/>
    <n v="36.284868535146515"/>
  </r>
  <r>
    <x v="0"/>
    <s v="ALB"/>
    <x v="3"/>
    <s v="NE.IMP.GNFS.ZS"/>
    <n v="43.169767540075846"/>
  </r>
  <r>
    <x v="0"/>
    <s v="ALB"/>
    <x v="4"/>
    <s v="SP.DYN.LE00.IN"/>
    <n v="79.775999999999996"/>
  </r>
  <r>
    <x v="0"/>
    <s v="ALB"/>
    <x v="5"/>
    <s v="SP.POP.GROW"/>
    <n v="-1.54314393524594"/>
  </r>
  <r>
    <x v="1"/>
    <s v="AUT"/>
    <x v="0"/>
    <s v="NY.GDP.PCAP.CD"/>
    <n v="58268.878765160116"/>
  </r>
  <r>
    <x v="1"/>
    <s v="AUT"/>
    <x v="1"/>
    <s v="FP.CPI.TOTL.ZG"/>
    <n v="2.9379157427937499"/>
  </r>
  <r>
    <x v="1"/>
    <s v="AUT"/>
    <x v="2"/>
    <s v="NE.EXP.GNFS.ZS"/>
    <n v="55.678285085164134"/>
  </r>
  <r>
    <x v="1"/>
    <s v="AUT"/>
    <x v="3"/>
    <s v="NE.IMP.GNFS.ZS"/>
    <n v="53.147492749240577"/>
  </r>
  <r>
    <x v="1"/>
    <s v="AUT"/>
    <x v="4"/>
    <s v="SP.DYN.LE00.IN"/>
    <n v="81.995121951219517"/>
  </r>
  <r>
    <x v="1"/>
    <s v="AUT"/>
    <x v="5"/>
    <s v="SP.POP.GROW"/>
    <n v="0.50487981379598601"/>
  </r>
  <r>
    <x v="2"/>
    <s v="BEL"/>
    <x v="0"/>
    <s v="NY.GDP.PCAP.CD"/>
    <n v="56614.567949903583"/>
  </r>
  <r>
    <x v="2"/>
    <s v="BEL"/>
    <x v="1"/>
    <s v="FP.CPI.TOTL.ZG"/>
    <n v="3.1434913650004099"/>
  </r>
  <r>
    <x v="2"/>
    <s v="BEL"/>
    <x v="2"/>
    <s v="NE.EXP.GNFS.ZS"/>
    <n v="79.273086411473159"/>
  </r>
  <r>
    <x v="2"/>
    <s v="BEL"/>
    <x v="3"/>
    <s v="NE.IMP.GNFS.ZS"/>
    <n v="79.658739926593469"/>
  </r>
  <r>
    <x v="2"/>
    <s v="BEL"/>
    <x v="4"/>
    <s v="SP.DYN.LE00.IN"/>
    <n v="82.300000000000011"/>
  </r>
  <r>
    <x v="2"/>
    <s v="BEL"/>
    <x v="5"/>
    <s v="SP.POP.GROW"/>
    <n v="0.66555918543206005"/>
  </r>
  <r>
    <x v="3"/>
    <s v="BIH"/>
    <x v="0"/>
    <s v="NY.GDP.PCAP.CD"/>
    <n v="9358.7876895113404"/>
  </r>
  <r>
    <x v="3"/>
    <s v="BIH"/>
    <x v="1"/>
    <s v="FP.CPI.TOTL.ZG"/>
    <n v="1.69212733599723"/>
  </r>
  <r>
    <x v="3"/>
    <s v="BIH"/>
    <x v="2"/>
    <s v="NE.EXP.GNFS.ZS"/>
    <n v="40.872841121631545"/>
  </r>
  <r>
    <x v="3"/>
    <s v="BIH"/>
    <x v="3"/>
    <s v="NE.IMP.GNFS.ZS"/>
    <n v="54.283454589185595"/>
  </r>
  <r>
    <x v="3"/>
    <s v="BIH"/>
    <x v="4"/>
    <s v="SP.DYN.LE00.IN"/>
    <n v="78.043999999999997"/>
  </r>
  <r>
    <x v="3"/>
    <s v="BIH"/>
    <x v="5"/>
    <s v="SP.POP.GROW"/>
    <n v="-0.65581999167383698"/>
  </r>
  <r>
    <x v="4"/>
    <s v="BGR"/>
    <x v="0"/>
    <s v="NY.GDP.PCAP.CD"/>
    <n v="17596.017366352113"/>
  </r>
  <r>
    <x v="4"/>
    <s v="BGR"/>
    <x v="1"/>
    <s v="FP.CPI.TOTL.ZG"/>
    <n v="2.4465194300607802"/>
  </r>
  <r>
    <x v="4"/>
    <s v="BGR"/>
    <x v="2"/>
    <s v="NE.EXP.GNFS.ZS"/>
    <n v="56.369962084093814"/>
  </r>
  <r>
    <x v="4"/>
    <s v="BGR"/>
    <x v="3"/>
    <s v="NE.IMP.GNFS.ZS"/>
    <n v="53.856352475116267"/>
  </r>
  <r>
    <x v="4"/>
    <s v="BGR"/>
    <x v="4"/>
    <s v="SP.DYN.LE00.IN"/>
    <n v="75.760975609756102"/>
  </r>
  <r>
    <x v="4"/>
    <s v="BGR"/>
    <x v="5"/>
    <s v="SP.POP.GROW"/>
    <n v="-8.0307160956148801E-2"/>
  </r>
  <r>
    <x v="5"/>
    <s v="HRV"/>
    <x v="0"/>
    <s v="NY.GDP.PCAP.CD"/>
    <n v="24050.439793313548"/>
  </r>
  <r>
    <x v="5"/>
    <s v="HRV"/>
    <x v="1"/>
    <s v="FP.CPI.TOTL.ZG"/>
    <n v="2.9720047764361812"/>
  </r>
  <r>
    <x v="5"/>
    <s v="HRV"/>
    <x v="2"/>
    <s v="NE.EXP.GNFS.ZS"/>
    <n v="50.141089194988943"/>
  </r>
  <r>
    <x v="5"/>
    <s v="HRV"/>
    <x v="3"/>
    <s v="NE.IMP.GNFS.ZS"/>
    <n v="54.771236878264261"/>
  </r>
  <r>
    <x v="5"/>
    <s v="HRV"/>
    <x v="4"/>
    <s v="SP.DYN.LE00.IN"/>
    <n v="78.929268292682934"/>
  </r>
  <r>
    <x v="5"/>
    <s v="HRV"/>
    <x v="5"/>
    <s v="SP.POP.GROW"/>
    <n v="0.16862794878328499"/>
  </r>
  <r>
    <x v="6"/>
    <s v="CYP"/>
    <x v="0"/>
    <s v="NY.GDP.PCAP.CD"/>
    <n v="38674.29296875"/>
  </r>
  <r>
    <x v="6"/>
    <s v="CYP"/>
    <x v="1"/>
    <s v="FP.CPI.TOTL.ZG"/>
    <n v="1.80023018624815"/>
  </r>
  <r>
    <x v="6"/>
    <s v="CYP"/>
    <x v="2"/>
    <s v="NE.EXP.GNFS.ZS"/>
    <n v="97.020235938456324"/>
  </r>
  <r>
    <x v="6"/>
    <s v="CYP"/>
    <x v="3"/>
    <s v="NE.IMP.GNFS.ZS"/>
    <n v="93.382634982303372"/>
  </r>
  <r>
    <x v="6"/>
    <s v="CYP"/>
    <x v="4"/>
    <s v="SP.DYN.LE00.IN"/>
    <n v="81.820999999999998"/>
  </r>
  <r>
    <x v="6"/>
    <s v="CYP"/>
    <x v="5"/>
    <s v="SP.POP.GROW"/>
    <n v="0.98444968711322101"/>
  </r>
  <r>
    <x v="7"/>
    <s v="CZE"/>
    <x v="0"/>
    <s v="NY.GDP.PCAP.CD"/>
    <n v="31823.307829056383"/>
  </r>
  <r>
    <x v="7"/>
    <s v="CZE"/>
    <x v="1"/>
    <s v="FP.CPI.TOTL.ZG"/>
    <n v="2.4353120243531401"/>
  </r>
  <r>
    <x v="7"/>
    <s v="CZE"/>
    <x v="2"/>
    <s v="NE.EXP.GNFS.ZS"/>
    <n v="68.868151448324895"/>
  </r>
  <r>
    <x v="7"/>
    <s v="CZE"/>
    <x v="3"/>
    <s v="NE.IMP.GNFS.ZS"/>
    <n v="62.616829621627424"/>
  </r>
  <r>
    <x v="7"/>
    <s v="CZE"/>
    <x v="4"/>
    <s v="SP.DYN.LE00.IN"/>
    <n v="79.978048780487811"/>
  </r>
  <r>
    <x v="7"/>
    <s v="CZE"/>
    <x v="5"/>
    <s v="SP.POP.GROW"/>
    <n v="0.37655304915749399"/>
  </r>
  <r>
    <x v="8"/>
    <s v="DNK"/>
    <x v="0"/>
    <s v="NY.GDP.PCAP.CD"/>
    <n v="71026.483227189703"/>
  </r>
  <r>
    <x v="8"/>
    <s v="DNK"/>
    <x v="1"/>
    <s v="FP.CPI.TOTL.ZG"/>
    <n v="1.3722004976892499"/>
  </r>
  <r>
    <x v="8"/>
    <s v="DNK"/>
    <x v="2"/>
    <s v="NE.EXP.GNFS.ZS"/>
    <n v="71.002013204304575"/>
  </r>
  <r>
    <x v="8"/>
    <s v="DNK"/>
    <x v="3"/>
    <s v="NE.IMP.GNFS.ZS"/>
    <n v="60.763017770902117"/>
  </r>
  <r>
    <x v="8"/>
    <s v="DNK"/>
    <x v="4"/>
    <s v="SP.DYN.LE00.IN"/>
    <n v="82.253658536585377"/>
  </r>
  <r>
    <x v="8"/>
    <s v="DNK"/>
    <x v="5"/>
    <s v="SP.POP.GROW"/>
    <n v="0.503861198167737"/>
  </r>
  <r>
    <x v="9"/>
    <s v="EST"/>
    <x v="0"/>
    <s v="NY.GDP.PCAP.CD"/>
    <n v="31428.354781610396"/>
  </r>
  <r>
    <x v="9"/>
    <s v="EST"/>
    <x v="1"/>
    <s v="FP.CPI.TOTL.ZG"/>
    <n v="3.5194118998391999"/>
  </r>
  <r>
    <x v="9"/>
    <s v="EST"/>
    <x v="2"/>
    <s v="NE.EXP.GNFS.ZS"/>
    <n v="75.669483321314246"/>
  </r>
  <r>
    <x v="9"/>
    <s v="EST"/>
    <x v="3"/>
    <s v="NE.IMP.GNFS.ZS"/>
    <n v="75.368219089140908"/>
  </r>
  <r>
    <x v="9"/>
    <s v="EST"/>
    <x v="4"/>
    <s v="SP.DYN.LE00.IN"/>
    <n v="79.295121951219528"/>
  </r>
  <r>
    <x v="9"/>
    <s v="EST"/>
    <x v="5"/>
    <s v="SP.POP.GROW"/>
    <n v="0.14985635192642399"/>
  </r>
  <r>
    <x v="10"/>
    <s v="FIN"/>
    <x v="0"/>
    <s v="NY.GDP.PCAP.CD"/>
    <n v="53149.767193405052"/>
  </r>
  <r>
    <x v="10"/>
    <s v="FIN"/>
    <x v="1"/>
    <s v="FP.CPI.TOTL.ZG"/>
    <n v="1.5656890623161499"/>
  </r>
  <r>
    <x v="10"/>
    <s v="FIN"/>
    <x v="2"/>
    <s v="NE.EXP.GNFS.ZS"/>
    <n v="41.907791986606902"/>
  </r>
  <r>
    <x v="10"/>
    <s v="FIN"/>
    <x v="3"/>
    <s v="NE.IMP.GNFS.ZS"/>
    <n v="41.552309548743857"/>
  </r>
  <r>
    <x v="10"/>
    <s v="FIN"/>
    <x v="4"/>
    <s v="SP.DYN.LE00.IN"/>
    <n v="82.336585365853679"/>
  </r>
  <r>
    <x v="10"/>
    <s v="FIN"/>
    <x v="5"/>
    <s v="SP.POP.GROW"/>
    <n v="0.64264005436334304"/>
  </r>
  <r>
    <x v="11"/>
    <s v="FRA"/>
    <x v="0"/>
    <s v="NY.GDP.PCAP.CD"/>
    <n v="46103.084085588387"/>
  </r>
  <r>
    <x v="11"/>
    <s v="FRA"/>
    <x v="1"/>
    <s v="FP.CPI.TOTL.ZG"/>
    <n v="1.9990494229146201"/>
  </r>
  <r>
    <x v="11"/>
    <s v="FRA"/>
    <x v="2"/>
    <s v="NE.EXP.GNFS.ZS"/>
    <n v="33.889754234383176"/>
  </r>
  <r>
    <x v="11"/>
    <s v="FRA"/>
    <x v="3"/>
    <s v="NE.IMP.GNFS.ZS"/>
    <n v="34.218433309991205"/>
  </r>
  <r>
    <x v="11"/>
    <s v="FRA"/>
    <x v="4"/>
    <s v="SP.DYN.LE00.IN"/>
    <n v="82.980487804878067"/>
  </r>
  <r>
    <x v="11"/>
    <s v="FRA"/>
    <x v="5"/>
    <s v="SP.POP.GROW"/>
    <n v="0.26199524189874701"/>
  </r>
  <r>
    <x v="12"/>
    <s v="DEU"/>
    <x v="0"/>
    <s v="NY.GDP.PCAP.CD"/>
    <n v="56103.732318255446"/>
  </r>
  <r>
    <x v="12"/>
    <s v="DEU"/>
    <x v="1"/>
    <s v="FP.CPI.TOTL.ZG"/>
    <n v="2.2564981433876001"/>
  </r>
  <r>
    <x v="12"/>
    <s v="DEU"/>
    <x v="2"/>
    <s v="NE.EXP.GNFS.ZS"/>
    <n v="41.434059372090822"/>
  </r>
  <r>
    <x v="12"/>
    <s v="DEU"/>
    <x v="3"/>
    <s v="NE.IMP.GNFS.ZS"/>
    <n v="37.656671217402753"/>
  </r>
  <r>
    <x v="12"/>
    <s v="DEU"/>
    <x v="4"/>
    <s v="SP.DYN.LE00.IN"/>
    <n v="80.792682926829272"/>
  </r>
  <r>
    <x v="12"/>
    <s v="DEU"/>
    <x v="5"/>
    <s v="SP.POP.GROW"/>
    <n v="0.27495782918488099"/>
  </r>
  <r>
    <x v="13"/>
    <s v="GRC"/>
    <x v="0"/>
    <s v="NY.GDP.PCAP.CD"/>
    <n v="24626.148185897262"/>
  </r>
  <r>
    <x v="13"/>
    <s v="GRC"/>
    <x v="1"/>
    <s v="FP.CPI.TOTL.ZG"/>
    <n v="2.741018756794773"/>
  </r>
  <r>
    <x v="13"/>
    <s v="GRC"/>
    <x v="2"/>
    <s v="NE.EXP.GNFS.ZS"/>
    <n v="42.111678322050224"/>
  </r>
  <r>
    <x v="13"/>
    <s v="GRC"/>
    <x v="3"/>
    <s v="NE.IMP.GNFS.ZS"/>
    <n v="47.664849622566621"/>
  </r>
  <r>
    <x v="13"/>
    <s v="GRC"/>
    <x v="4"/>
    <s v="SP.DYN.LE00.IN"/>
    <n v="81.839024390243921"/>
  </r>
  <r>
    <x v="13"/>
    <s v="GRC"/>
    <x v="5"/>
    <s v="SP.POP.GROW"/>
    <n v="-2.1304519939699899E-2"/>
  </r>
  <r>
    <x v="14"/>
    <s v="HUN"/>
    <x v="0"/>
    <s v="NY.GDP.PCAP.CD"/>
    <n v="23292.326388247828"/>
  </r>
  <r>
    <x v="14"/>
    <s v="HUN"/>
    <x v="1"/>
    <s v="FP.CPI.TOTL.ZG"/>
    <n v="3.7037037037036891"/>
  </r>
  <r>
    <x v="14"/>
    <s v="HUN"/>
    <x v="2"/>
    <s v="NE.EXP.GNFS.ZS"/>
    <n v="75.390890277712558"/>
  </r>
  <r>
    <x v="14"/>
    <s v="HUN"/>
    <x v="3"/>
    <s v="NE.IMP.GNFS.ZS"/>
    <n v="71.113671228188934"/>
  </r>
  <r>
    <x v="14"/>
    <s v="HUN"/>
    <x v="4"/>
    <s v="SP.DYN.LE00.IN"/>
    <n v="76.724390243902462"/>
  </r>
  <r>
    <x v="14"/>
    <s v="HUN"/>
    <x v="5"/>
    <s v="SP.POP.GROW"/>
    <n v="-0.31451007746408699"/>
  </r>
  <r>
    <x v="15"/>
    <s v="ISL"/>
    <x v="0"/>
    <s v="NY.GDP.PCAP.CD"/>
    <n v="86040.530985128789"/>
  </r>
  <r>
    <x v="15"/>
    <s v="ISL"/>
    <x v="1"/>
    <s v="FP.CPI.TOTL.ZG"/>
    <n v="5.8568384997006557"/>
  </r>
  <r>
    <x v="15"/>
    <s v="ISL"/>
    <x v="2"/>
    <s v="NE.EXP.GNFS.ZS"/>
    <n v="42.451986287291319"/>
  </r>
  <r>
    <x v="15"/>
    <s v="ISL"/>
    <x v="3"/>
    <s v="NE.IMP.GNFS.ZS"/>
    <n v="43.515206980839018"/>
  </r>
  <r>
    <x v="15"/>
    <s v="ISL"/>
    <x v="4"/>
    <s v="SP.DYN.LE00.IN"/>
    <n v="82.809756097560978"/>
  </r>
  <r>
    <x v="15"/>
    <s v="ISL"/>
    <x v="5"/>
    <s v="SP.POP.GROW"/>
    <n v="0.21834607059254499"/>
  </r>
  <r>
    <x v="16"/>
    <s v="IRL"/>
    <x v="0"/>
    <s v="NY.GDP.PCAP.CD"/>
    <n v="112894.95324080539"/>
  </r>
  <r>
    <x v="16"/>
    <s v="IRL"/>
    <x v="1"/>
    <s v="FP.CPI.TOTL.ZG"/>
    <n v="2.1134499957731672"/>
  </r>
  <r>
    <x v="16"/>
    <s v="IRL"/>
    <x v="2"/>
    <s v="NE.EXP.GNFS.ZS"/>
    <n v="143.98460166103095"/>
  </r>
  <r>
    <x v="16"/>
    <s v="IRL"/>
    <x v="3"/>
    <s v="NE.IMP.GNFS.ZS"/>
    <n v="102.18527319637008"/>
  </r>
  <r>
    <x v="16"/>
    <s v="IRL"/>
    <x v="4"/>
    <s v="SP.DYN.LE00.IN"/>
    <n v="83.009756097560995"/>
  </r>
  <r>
    <x v="16"/>
    <s v="IRL"/>
    <x v="5"/>
    <s v="SP.POP.GROW"/>
    <n v="1.57375843711631"/>
  </r>
  <r>
    <x v="17"/>
    <s v="ITA"/>
    <x v="0"/>
    <s v="NY.GDP.PCAP.CD"/>
    <n v="40385.341395766904"/>
  </r>
  <r>
    <x v="17"/>
    <s v="ITA"/>
    <x v="1"/>
    <s v="FP.CPI.TOTL.ZG"/>
    <n v="0.98237302306141705"/>
  </r>
  <r>
    <x v="17"/>
    <s v="ITA"/>
    <x v="2"/>
    <s v="NE.EXP.GNFS.ZS"/>
    <n v="32.505041554007022"/>
  </r>
  <r>
    <x v="17"/>
    <s v="ITA"/>
    <x v="3"/>
    <s v="NE.IMP.GNFS.ZS"/>
    <n v="30.31872695794554"/>
  </r>
  <r>
    <x v="17"/>
    <s v="ITA"/>
    <x v="4"/>
    <s v="SP.DYN.LE00.IN"/>
    <n v="83.951219512195138"/>
  </r>
  <r>
    <x v="17"/>
    <s v="ITA"/>
    <x v="5"/>
    <s v="SP.POP.GROW"/>
    <n v="-5.3438737843772503E-2"/>
  </r>
  <r>
    <x v="18"/>
    <s v="LVA"/>
    <x v="0"/>
    <s v="NY.GDP.PCAP.CD"/>
    <n v="23409.084515477498"/>
  </r>
  <r>
    <x v="18"/>
    <s v="LVA"/>
    <x v="1"/>
    <s v="FP.CPI.TOTL.ZG"/>
    <n v="1.265798858287287"/>
  </r>
  <r>
    <x v="18"/>
    <s v="LVA"/>
    <x v="2"/>
    <s v="NE.EXP.GNFS.ZS"/>
    <n v="65.334130371427975"/>
  </r>
  <r>
    <x v="18"/>
    <s v="LVA"/>
    <x v="3"/>
    <s v="NE.IMP.GNFS.ZS"/>
    <n v="66.928377524497009"/>
  </r>
  <r>
    <x v="18"/>
    <s v="LVA"/>
    <x v="4"/>
    <s v="SP.DYN.LE00.IN"/>
    <n v="76.429268292682934"/>
  </r>
  <r>
    <x v="18"/>
    <s v="LVA"/>
    <x v="5"/>
    <s v="SP.POP.GROW"/>
    <n v="-0.93796839712161995"/>
  </r>
  <r>
    <x v="19"/>
    <s v="LTU"/>
    <x v="0"/>
    <s v="NY.GDP.PCAP.CD"/>
    <n v="29384.018959866335"/>
  </r>
  <r>
    <x v="19"/>
    <s v="LTU"/>
    <x v="1"/>
    <s v="FP.CPI.TOTL.ZG"/>
    <n v="0.71573583522872319"/>
  </r>
  <r>
    <x v="19"/>
    <s v="LTU"/>
    <x v="2"/>
    <s v="NE.EXP.GNFS.ZS"/>
    <n v="74.113980754518366"/>
  </r>
  <r>
    <x v="19"/>
    <s v="LTU"/>
    <x v="3"/>
    <s v="NE.IMP.GNFS.ZS"/>
    <n v="68.934410108861286"/>
  </r>
  <r>
    <x v="19"/>
    <s v="LTU"/>
    <x v="4"/>
    <s v="SP.DYN.LE00.IN"/>
    <n v="77.195121951219519"/>
  </r>
  <r>
    <x v="19"/>
    <s v="LTU"/>
    <x v="5"/>
    <s v="SP.POP.GROW"/>
    <n v="0.57963346478516098"/>
  </r>
  <r>
    <x v="20"/>
    <s v="LUX"/>
    <x v="0"/>
    <s v="NY.GDP.PCAP.CD"/>
    <n v="137781.68165912307"/>
  </r>
  <r>
    <x v="20"/>
    <s v="LUX"/>
    <x v="1"/>
    <s v="FP.CPI.TOTL.ZG"/>
    <n v="2.051132699548591"/>
  </r>
  <r>
    <x v="20"/>
    <s v="LUX"/>
    <x v="2"/>
    <s v="NE.EXP.GNFS.ZS"/>
    <n v="191.53297018761137"/>
  </r>
  <r>
    <x v="20"/>
    <s v="LUX"/>
    <x v="3"/>
    <s v="NE.IMP.GNFS.ZS"/>
    <n v="159.73495096558054"/>
  </r>
  <r>
    <x v="20"/>
    <s v="LUX"/>
    <x v="4"/>
    <s v="SP.DYN.LE00.IN"/>
    <n v="83.195121951219519"/>
  </r>
  <r>
    <x v="20"/>
    <s v="LUX"/>
    <x v="5"/>
    <s v="SP.POP.GROW"/>
    <n v="1.57538901671221"/>
  </r>
  <r>
    <x v="21"/>
    <s v="MDA"/>
    <x v="0"/>
    <s v="NY.GDP.PCAP.CD"/>
    <n v="7576.195894133255"/>
  </r>
  <r>
    <x v="21"/>
    <s v="MDA"/>
    <x v="1"/>
    <s v="FP.CPI.TOTL.ZG"/>
    <n v="4.6777351600705153"/>
  </r>
  <r>
    <x v="21"/>
    <s v="MDA"/>
    <x v="2"/>
    <s v="NE.EXP.GNFS.ZS"/>
    <n v="31.413547115249891"/>
  </r>
  <r>
    <x v="21"/>
    <s v="MDA"/>
    <x v="3"/>
    <s v="NE.IMP.GNFS.ZS"/>
    <n v="57.252568313433194"/>
  </r>
  <r>
    <x v="21"/>
    <s v="MDA"/>
    <x v="4"/>
    <s v="SP.DYN.LE00.IN"/>
    <n v="71.331999999999994"/>
  </r>
  <r>
    <x v="21"/>
    <s v="MDA"/>
    <x v="5"/>
    <s v="SP.POP.GROW"/>
    <n v="-2.2830614707263699"/>
  </r>
  <r>
    <x v="22"/>
    <s v="MNE"/>
    <x v="0"/>
    <s v="NY.GDP.PCAP.CD"/>
    <n v="13263.328127769921"/>
  </r>
  <r>
    <x v="22"/>
    <s v="MNE"/>
    <x v="1"/>
    <s v="FP.CPI.TOTL.ZG"/>
    <n v="3.3367500928228142"/>
  </r>
  <r>
    <x v="22"/>
    <s v="MNE"/>
    <x v="2"/>
    <s v="NE.EXP.GNFS.ZS"/>
    <n v="43.74708296343379"/>
  </r>
  <r>
    <x v="22"/>
    <s v="MNE"/>
    <x v="3"/>
    <s v="NE.IMP.GNFS.ZS"/>
    <n v="66.197021517541202"/>
  </r>
  <r>
    <x v="22"/>
    <s v="MNE"/>
    <x v="4"/>
    <s v="SP.DYN.LE00.IN"/>
    <n v="77.890243902439039"/>
  </r>
  <r>
    <x v="22"/>
    <s v="MNE"/>
    <x v="5"/>
    <s v="SP.POP.GROW"/>
    <n v="-6.4151191528509499E-4"/>
  </r>
  <r>
    <x v="23"/>
    <s v="NLD"/>
    <x v="0"/>
    <s v="NY.GDP.PCAP.CD"/>
    <n v="67520.421895628111"/>
  </r>
  <r>
    <x v="23"/>
    <s v="NLD"/>
    <x v="1"/>
    <s v="FP.CPI.TOTL.ZG"/>
    <n v="3.34754304219953"/>
  </r>
  <r>
    <x v="23"/>
    <s v="NLD"/>
    <x v="2"/>
    <s v="NE.EXP.GNFS.ZS"/>
    <n v="82.430360485327299"/>
  </r>
  <r>
    <x v="23"/>
    <s v="NLD"/>
    <x v="3"/>
    <s v="NE.IMP.GNFS.ZS"/>
    <n v="71.400291681032442"/>
  </r>
  <r>
    <x v="23"/>
    <s v="NLD"/>
    <x v="4"/>
    <s v="SP.DYN.LE00.IN"/>
    <n v="81.965853658536588"/>
  </r>
  <r>
    <x v="23"/>
    <s v="NLD"/>
    <x v="5"/>
    <s v="SP.POP.GROW"/>
    <n v="0.64882328002165701"/>
  </r>
  <r>
    <x v="24"/>
    <s v="MKD"/>
    <x v="0"/>
    <s v="NY.GDP.PCAP.CD"/>
    <n v="9291.85661671864"/>
  </r>
  <r>
    <x v="24"/>
    <s v="MKD"/>
    <x v="1"/>
    <s v="FP.CPI.TOTL.ZG"/>
    <n v="3.4897408602695368"/>
  </r>
  <r>
    <x v="24"/>
    <s v="MKD"/>
    <x v="2"/>
    <s v="NE.EXP.GNFS.ZS"/>
    <n v="61.679203747961672"/>
  </r>
  <r>
    <x v="24"/>
    <s v="MKD"/>
    <x v="3"/>
    <s v="NE.IMP.GNFS.ZS"/>
    <n v="74.645672427593908"/>
  </r>
  <r>
    <x v="24"/>
    <s v="MKD"/>
    <x v="4"/>
    <s v="SP.DYN.LE00.IN"/>
    <n v="76.61658536585368"/>
  </r>
  <r>
    <x v="24"/>
    <s v="MKD"/>
    <x v="5"/>
    <s v="SP.POP.GROW"/>
    <n v="-0.18931190495865199"/>
  </r>
  <r>
    <x v="25"/>
    <s v="NOR"/>
    <x v="0"/>
    <s v="NY.GDP.PCAP.CD"/>
    <n v="86785.433448917611"/>
  </r>
  <r>
    <x v="25"/>
    <s v="NOR"/>
    <x v="1"/>
    <s v="FP.CPI.TOTL.ZG"/>
    <n v="3.1453013443108051"/>
  </r>
  <r>
    <x v="25"/>
    <s v="NOR"/>
    <x v="2"/>
    <s v="NE.EXP.GNFS.ZS"/>
    <n v="47.491709011612585"/>
  </r>
  <r>
    <x v="25"/>
    <s v="NOR"/>
    <x v="3"/>
    <s v="NE.IMP.GNFS.ZS"/>
    <n v="33.87180017111168"/>
  </r>
  <r>
    <x v="25"/>
    <s v="NOR"/>
    <x v="4"/>
    <s v="SP.DYN.LE00.IN"/>
    <n v="83.160975609756093"/>
  </r>
  <r>
    <x v="25"/>
    <s v="NOR"/>
    <x v="5"/>
    <s v="SP.POP.GROW"/>
    <n v="0.94985513837235702"/>
  </r>
  <r>
    <x v="26"/>
    <s v="POL"/>
    <x v="0"/>
    <s v="NY.GDP.PCAP.CD"/>
    <n v="25103.56566142297"/>
  </r>
  <r>
    <x v="26"/>
    <s v="POL"/>
    <x v="1"/>
    <s v="FP.CPI.TOTL.ZG"/>
    <n v="3.7906089763019661"/>
  </r>
  <r>
    <x v="26"/>
    <s v="POL"/>
    <x v="2"/>
    <s v="NE.EXP.GNFS.ZS"/>
    <n v="52.179813391901099"/>
  </r>
  <r>
    <x v="26"/>
    <s v="POL"/>
    <x v="3"/>
    <s v="NE.IMP.GNFS.ZS"/>
    <n v="48.179629455262884"/>
  </r>
  <r>
    <x v="26"/>
    <s v="POL"/>
    <x v="4"/>
    <s v="SP.DYN.LE00.IN"/>
    <n v="78.409756097560987"/>
  </r>
  <r>
    <x v="26"/>
    <s v="POL"/>
    <x v="5"/>
    <s v="SP.POP.GROW"/>
    <n v="-0.349832361234927"/>
  </r>
  <r>
    <x v="27"/>
    <s v="PRT"/>
    <x v="0"/>
    <s v="NY.GDP.PCAP.CD"/>
    <n v="29292.242104753037"/>
  </r>
  <r>
    <x v="27"/>
    <s v="PRT"/>
    <x v="1"/>
    <s v="FP.CPI.TOTL.ZG"/>
    <n v="2.416131877918839"/>
  </r>
  <r>
    <x v="27"/>
    <s v="PRT"/>
    <x v="2"/>
    <s v="NE.EXP.GNFS.ZS"/>
    <n v="45.771725043315008"/>
  </r>
  <r>
    <x v="27"/>
    <s v="PRT"/>
    <x v="3"/>
    <s v="NE.IMP.GNFS.ZS"/>
    <n v="43.924683810710995"/>
  </r>
  <r>
    <x v="27"/>
    <s v="PRT"/>
    <x v="4"/>
    <s v="SP.DYN.LE00.IN"/>
    <n v="82.3829268292683"/>
  </r>
  <r>
    <x v="27"/>
    <s v="PRT"/>
    <x v="5"/>
    <s v="SP.POP.GROW"/>
    <n v="1.09536933248007"/>
  </r>
  <r>
    <x v="28"/>
    <s v="ROU"/>
    <x v="0"/>
    <s v="NY.GDP.PCAP.CD"/>
    <n v="20080.209621559497"/>
  </r>
  <r>
    <x v="28"/>
    <s v="ROU"/>
    <x v="1"/>
    <s v="FP.CPI.TOTL.ZG"/>
    <n v="5.7214057435443859"/>
  </r>
  <r>
    <x v="28"/>
    <s v="ROU"/>
    <x v="2"/>
    <s v="NE.EXP.GNFS.ZS"/>
    <n v="35.603026699946504"/>
  </r>
  <r>
    <x v="28"/>
    <s v="ROU"/>
    <x v="3"/>
    <s v="NE.IMP.GNFS.ZS"/>
    <n v="41.61195709395377"/>
  </r>
  <r>
    <x v="28"/>
    <s v="ROU"/>
    <x v="4"/>
    <s v="SP.DYN.LE00.IN"/>
    <n v="76.458536585365863"/>
  </r>
  <r>
    <x v="28"/>
    <s v="ROU"/>
    <x v="5"/>
    <s v="SP.POP.GROW"/>
    <n v="-4.8582020476197703E-2"/>
  </r>
  <r>
    <x v="29"/>
    <s v="SRB"/>
    <x v="0"/>
    <s v="NY.GDP.PCAP.CD"/>
    <n v="13679.206598355697"/>
  </r>
  <r>
    <x v="29"/>
    <s v="SRB"/>
    <x v="1"/>
    <s v="FP.CPI.TOTL.ZG"/>
    <n v="4.6705297488997006"/>
  </r>
  <r>
    <x v="29"/>
    <s v="SRB"/>
    <x v="2"/>
    <s v="NE.EXP.GNFS.ZS"/>
    <n v="53.583766709022605"/>
  </r>
  <r>
    <x v="29"/>
    <s v="SRB"/>
    <x v="3"/>
    <s v="NE.IMP.GNFS.ZS"/>
    <n v="58.14126167989366"/>
  </r>
  <r>
    <x v="29"/>
    <s v="SRB"/>
    <x v="4"/>
    <s v="SP.DYN.LE00.IN"/>
    <n v="75.968292682926844"/>
  </r>
  <r>
    <x v="29"/>
    <s v="SRB"/>
    <x v="5"/>
    <s v="SP.POP.GROW"/>
    <n v="-0.55576142398442496"/>
  </r>
  <r>
    <x v="30"/>
    <s v="SVK"/>
    <x v="0"/>
    <s v="NY.GDP.PCAP.CD"/>
    <n v="25992.674850204778"/>
  </r>
  <r>
    <x v="30"/>
    <s v="SVK"/>
    <x v="1"/>
    <s v="FP.CPI.TOTL.ZG"/>
    <n v="2.7576090942427181"/>
  </r>
  <r>
    <x v="30"/>
    <s v="SVK"/>
    <x v="2"/>
    <s v="NE.EXP.GNFS.ZS"/>
    <n v="85.483498956127875"/>
  </r>
  <r>
    <x v="30"/>
    <s v="SVK"/>
    <x v="3"/>
    <s v="NE.IMP.GNFS.ZS"/>
    <n v="85.729301195506991"/>
  </r>
  <r>
    <x v="30"/>
    <s v="SVK"/>
    <x v="4"/>
    <s v="SP.DYN.LE00.IN"/>
    <n v="78.370731707317091"/>
  </r>
  <r>
    <x v="30"/>
    <s v="SVK"/>
    <x v="5"/>
    <s v="SP.POP.GROW"/>
    <n v="-8.6110840160076904E-2"/>
  </r>
  <r>
    <x v="31"/>
    <s v="SVN"/>
    <x v="0"/>
    <s v="NY.GDP.PCAP.CD"/>
    <n v="34301.031868659353"/>
  </r>
  <r>
    <x v="31"/>
    <s v="SVN"/>
    <x v="1"/>
    <s v="FP.CPI.TOTL.ZG"/>
    <n v="1.9656265643251249"/>
  </r>
  <r>
    <x v="31"/>
    <s v="SVN"/>
    <x v="2"/>
    <s v="NE.EXP.GNFS.ZS"/>
    <n v="80.917389492035696"/>
  </r>
  <r>
    <x v="31"/>
    <s v="SVN"/>
    <x v="3"/>
    <s v="NE.IMP.GNFS.ZS"/>
    <n v="74.740539192438021"/>
  </r>
  <r>
    <x v="31"/>
    <s v="SVN"/>
    <x v="4"/>
    <s v="SP.DYN.LE00.IN"/>
    <n v="82.285365853658547"/>
  </r>
  <r>
    <x v="31"/>
    <s v="SVN"/>
    <x v="5"/>
    <s v="SP.POP.GROW"/>
    <n v="0.32670589607575401"/>
  </r>
  <r>
    <x v="32"/>
    <s v="ESP"/>
    <x v="0"/>
    <s v="NY.GDP.PCAP.CD"/>
    <n v="35326.768306927806"/>
  </r>
  <r>
    <x v="32"/>
    <s v="ESP"/>
    <x v="1"/>
    <s v="FP.CPI.TOTL.ZG"/>
    <n v="2.7741782653477198"/>
  </r>
  <r>
    <x v="32"/>
    <s v="ESP"/>
    <x v="2"/>
    <s v="NE.EXP.GNFS.ZS"/>
    <n v="37.055879272170756"/>
  </r>
  <r>
    <x v="32"/>
    <s v="ESP"/>
    <x v="3"/>
    <s v="NE.IMP.GNFS.ZS"/>
    <n v="32.89438196609234"/>
  </r>
  <r>
    <x v="32"/>
    <s v="ESP"/>
    <x v="4"/>
    <s v="SP.DYN.LE00.IN"/>
    <n v="83.887804878048797"/>
  </r>
  <r>
    <x v="32"/>
    <s v="ESP"/>
    <x v="5"/>
    <s v="SP.POP.GROW"/>
    <n v="1.0212126093838101"/>
  </r>
  <r>
    <x v="33"/>
    <s v="SWE"/>
    <x v="0"/>
    <s v="NY.GDP.PCAP.CD"/>
    <n v="57117.487744061626"/>
  </r>
  <r>
    <x v="33"/>
    <s v="SWE"/>
    <x v="1"/>
    <s v="FP.CPI.TOTL.ZG"/>
    <n v="2.8358165822403398"/>
  </r>
  <r>
    <x v="33"/>
    <s v="SWE"/>
    <x v="2"/>
    <s v="NE.EXP.GNFS.ZS"/>
    <n v="54.309580972447122"/>
  </r>
  <r>
    <x v="33"/>
    <s v="SWE"/>
    <x v="3"/>
    <s v="NE.IMP.GNFS.ZS"/>
    <n v="51.573510508017208"/>
  </r>
  <r>
    <x v="33"/>
    <s v="SWE"/>
    <x v="4"/>
    <s v="SP.DYN.LE00.IN"/>
    <n v="84.063414634146341"/>
  </r>
  <r>
    <x v="33"/>
    <s v="SWE"/>
    <x v="5"/>
    <s v="SP.POP.GROW"/>
    <n v="0.31343212998360698"/>
  </r>
  <r>
    <x v="34"/>
    <s v="CHE"/>
    <x v="0"/>
    <s v="NY.GDP.PCAP.CD"/>
    <n v="103998.18668560409"/>
  </r>
  <r>
    <x v="34"/>
    <s v="CHE"/>
    <x v="1"/>
    <s v="FP.CPI.TOTL.ZG"/>
    <n v="1.0623404197659401"/>
  </r>
  <r>
    <x v="34"/>
    <s v="CHE"/>
    <x v="2"/>
    <s v="NE.EXP.GNFS.ZS"/>
    <n v="72.15894476679054"/>
  </r>
  <r>
    <x v="34"/>
    <s v="CHE"/>
    <x v="3"/>
    <s v="NE.IMP.GNFS.ZS"/>
    <n v="61.936203753819221"/>
  </r>
  <r>
    <x v="34"/>
    <s v="CHE"/>
    <x v="4"/>
    <s v="SP.DYN.LE00.IN"/>
    <n v="84.407317073170745"/>
  </r>
  <r>
    <x v="34"/>
    <s v="CHE"/>
    <x v="5"/>
    <s v="SP.POP.GROW"/>
    <n v="1.30500749907811"/>
  </r>
  <r>
    <x v="35"/>
    <s v="UKR"/>
    <x v="0"/>
    <s v="NY.GDP.PCAP.CD"/>
    <n v="5389.47314453125"/>
  </r>
  <r>
    <x v="35"/>
    <s v="UKR"/>
    <x v="1"/>
    <s v="FP.CPI.TOTL.ZG"/>
    <n v="6.5019846466925397"/>
  </r>
  <r>
    <x v="35"/>
    <s v="UKR"/>
    <x v="2"/>
    <s v="NE.EXP.GNFS.ZS"/>
    <n v="29.410213981324929"/>
  </r>
  <r>
    <x v="35"/>
    <s v="UKR"/>
    <x v="3"/>
    <s v="NE.IMP.GNFS.ZS"/>
    <n v="48.342797348726457"/>
  </r>
  <r>
    <x v="35"/>
    <s v="UKR"/>
    <x v="4"/>
    <s v="SP.DYN.LE00.IN"/>
    <n v="74.691999999999993"/>
  </r>
  <r>
    <x v="35"/>
    <s v="UKR"/>
    <x v="5"/>
    <s v="SP.POP.GROW"/>
    <n v="0.33702862573393999"/>
  </r>
  <r>
    <x v="36"/>
    <s v="GBR"/>
    <x v="0"/>
    <s v="NY.GDP.PCAP.CD"/>
    <n v="53246.367614510847"/>
  </r>
  <r>
    <x v="36"/>
    <s v="GBR"/>
    <x v="1"/>
    <s v="FP.CPI.TOTL.ZG"/>
    <n v="3.2715729463592012"/>
  </r>
  <r>
    <x v="36"/>
    <s v="GBR"/>
    <x v="2"/>
    <s v="NE.EXP.GNFS.ZS"/>
    <n v="30.984158840168845"/>
  </r>
  <r>
    <x v="36"/>
    <s v="GBR"/>
    <x v="3"/>
    <s v="NE.IMP.GNFS.ZS"/>
    <n v="31.856001686542957"/>
  </r>
  <r>
    <x v="36"/>
    <s v="GBR"/>
    <x v="4"/>
    <s v="SP.DYN.LE00.IN"/>
    <n v="81.386853658536594"/>
  </r>
  <r>
    <x v="36"/>
    <s v="GBR"/>
    <x v="5"/>
    <s v="SP.POP.GROW"/>
    <n v="1.06595644742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olHeaderCaption="Назва">
  <location ref="A3:H42" firstHeaderRow="1" firstDataRow="2" firstDataCol="1"/>
  <pivotFields count="5"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axis="axisCol" showAll="0">
      <items count="7">
        <item x="2"/>
        <item x="0"/>
        <item x="3"/>
        <item x="1"/>
        <item x="4"/>
        <item x="5"/>
        <item t="default"/>
      </items>
    </pivotField>
    <pivotField showAll="0"/>
    <pivotField dataField="1" showAll="0"/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А 2024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zoomScale="59" zoomScaleNormal="79" workbookViewId="0">
      <selection activeCell="M5" sqref="M5"/>
    </sheetView>
  </sheetViews>
  <sheetFormatPr defaultRowHeight="14.5"/>
  <cols>
    <col min="1" max="1" width="20.54296875" bestFit="1" customWidth="1"/>
    <col min="2" max="2" width="20" customWidth="1"/>
    <col min="13" max="13" width="19.1796875" bestFit="1" customWidth="1"/>
    <col min="14" max="14" width="13.453125" customWidth="1"/>
    <col min="15" max="15" width="14.08984375" customWidth="1"/>
    <col min="16" max="16" width="11.90625" customWidth="1"/>
    <col min="17" max="17" width="13.08984375" customWidth="1"/>
    <col min="18" max="18" width="11.90625" customWidth="1"/>
  </cols>
  <sheetData>
    <row r="1" spans="1:19" ht="40.25" customHeight="1">
      <c r="A1" s="6" t="s">
        <v>97</v>
      </c>
      <c r="B1" s="6" t="s">
        <v>44</v>
      </c>
      <c r="C1" s="6" t="s">
        <v>12</v>
      </c>
      <c r="D1" s="6" t="s">
        <v>33</v>
      </c>
      <c r="E1" s="6" t="s">
        <v>52</v>
      </c>
      <c r="F1" s="6" t="s">
        <v>75</v>
      </c>
      <c r="G1" s="6" t="s">
        <v>60</v>
      </c>
      <c r="H1" s="6" t="s">
        <v>98</v>
      </c>
      <c r="L1" s="8" t="s">
        <v>97</v>
      </c>
      <c r="M1" s="8" t="s">
        <v>44</v>
      </c>
      <c r="N1" s="8" t="s">
        <v>12</v>
      </c>
      <c r="O1" s="8" t="s">
        <v>33</v>
      </c>
      <c r="P1" s="8" t="s">
        <v>52</v>
      </c>
      <c r="Q1" s="8" t="s">
        <v>75</v>
      </c>
      <c r="R1" s="8" t="s">
        <v>60</v>
      </c>
      <c r="S1" s="6" t="s">
        <v>98</v>
      </c>
    </row>
    <row r="2" spans="1:19">
      <c r="A2" s="5" t="s">
        <v>19</v>
      </c>
      <c r="B2" s="5">
        <v>36.284868535146515</v>
      </c>
      <c r="C2" s="5">
        <v>11377.775743109876</v>
      </c>
      <c r="D2" s="5">
        <v>43.169767540075846</v>
      </c>
      <c r="E2" s="5">
        <v>2.21587375089991</v>
      </c>
      <c r="F2" s="5">
        <v>79.775999999999996</v>
      </c>
      <c r="G2" s="5">
        <v>-1.54314393524594</v>
      </c>
      <c r="H2" s="5">
        <v>11537.679109000754</v>
      </c>
      <c r="L2" s="5" t="s">
        <v>19</v>
      </c>
      <c r="M2" s="5">
        <f>(B2-$B$41)/$B$42</f>
        <v>-6.924451250342549E-2</v>
      </c>
      <c r="N2" s="5">
        <f>(C2-$C$41)/$C$42</f>
        <v>-0.12439347166439475</v>
      </c>
      <c r="O2" s="5">
        <f>(D2-$D$41)/$D$42</f>
        <v>-4.7760108887714432E-2</v>
      </c>
      <c r="P2" s="5">
        <f>(E2-$E$41)/$E$42</f>
        <v>-3.8107576686980761E-2</v>
      </c>
      <c r="Q2" s="5">
        <f>(F2-$F$41)/$F$42</f>
        <v>-7.4986574419739908E-4</v>
      </c>
      <c r="R2" s="5">
        <f>(G2-$G$41)/$G$42</f>
        <v>-1.1500671354173375</v>
      </c>
      <c r="S2" s="5">
        <v>11537.679109000754</v>
      </c>
    </row>
    <row r="3" spans="1:19">
      <c r="A3" s="5" t="s">
        <v>85</v>
      </c>
      <c r="B3" s="5">
        <v>55.678285085164134</v>
      </c>
      <c r="C3" s="5">
        <v>58268.878765160116</v>
      </c>
      <c r="D3" s="5">
        <v>53.147492749240577</v>
      </c>
      <c r="E3" s="5">
        <v>2.9379157427937499</v>
      </c>
      <c r="F3" s="5">
        <v>81.995121951219517</v>
      </c>
      <c r="G3" s="5">
        <v>0.50487981379598601</v>
      </c>
      <c r="H3" s="5">
        <v>58463.142460502328</v>
      </c>
      <c r="L3" s="5" t="s">
        <v>85</v>
      </c>
      <c r="M3" s="5">
        <f t="shared" ref="M3:M38" si="0">(B3-$B$41)/$B$42</f>
        <v>-1.509089791103012E-2</v>
      </c>
      <c r="N3" s="5">
        <f t="shared" ref="N3:N38" si="1">(C3-$C$41)/$C$42</f>
        <v>6.3213868867406334E-2</v>
      </c>
      <c r="O3" s="5">
        <f t="shared" ref="O3:O38" si="2">(D3-$D$41)/$D$42</f>
        <v>-1.9315028389101305E-2</v>
      </c>
      <c r="P3" s="5">
        <f t="shared" ref="P3:P38" si="3">(E3-$E$41)/$E$42</f>
        <v>5.0968198046515267E-3</v>
      </c>
      <c r="Q3" s="5">
        <f t="shared" ref="Q3:Q38" si="4">(F3-$F$41)/$F$42</f>
        <v>3.9923616632949943E-3</v>
      </c>
      <c r="R3" s="5">
        <f t="shared" ref="R3:R38" si="5">(G3-$G$41)/$G$42</f>
        <v>0.18002942258818938</v>
      </c>
      <c r="S3" s="5">
        <v>58463.142460502328</v>
      </c>
    </row>
    <row r="4" spans="1:19">
      <c r="A4" s="5" t="s">
        <v>65</v>
      </c>
      <c r="B4" s="5">
        <v>79.273086411473159</v>
      </c>
      <c r="C4" s="5">
        <v>56614.567949903583</v>
      </c>
      <c r="D4" s="5">
        <v>79.658739926593469</v>
      </c>
      <c r="E4" s="5">
        <v>3.1434913650004099</v>
      </c>
      <c r="F4" s="5">
        <v>82.300000000000011</v>
      </c>
      <c r="G4" s="5">
        <v>0.66555918543206005</v>
      </c>
      <c r="H4" s="5">
        <v>56859.608826792079</v>
      </c>
      <c r="L4" s="5" t="s">
        <v>65</v>
      </c>
      <c r="M4" s="5">
        <f>(B4-$B$41)/$B$42</f>
        <v>5.079454182640062E-2</v>
      </c>
      <c r="N4" s="5">
        <f t="shared" si="1"/>
        <v>5.6595111097572502E-2</v>
      </c>
      <c r="O4" s="5">
        <f t="shared" si="2"/>
        <v>5.6264780061202023E-2</v>
      </c>
      <c r="P4" s="5">
        <f t="shared" si="3"/>
        <v>1.7397725833031678E-2</v>
      </c>
      <c r="Q4" s="5">
        <f t="shared" si="4"/>
        <v>4.6438810798259894E-3</v>
      </c>
      <c r="R4" s="5">
        <f t="shared" si="5"/>
        <v>0.28438323159827128</v>
      </c>
      <c r="S4" s="5">
        <v>56859.608826792079</v>
      </c>
    </row>
    <row r="5" spans="1:19">
      <c r="A5" s="5" t="s">
        <v>53</v>
      </c>
      <c r="B5" s="5">
        <v>40.872841121631545</v>
      </c>
      <c r="C5" s="5">
        <v>9358.7876895113404</v>
      </c>
      <c r="D5" s="5">
        <v>54.283454589185595</v>
      </c>
      <c r="E5" s="5">
        <v>1.69212733599723</v>
      </c>
      <c r="F5" s="5">
        <v>78.043999999999997</v>
      </c>
      <c r="G5" s="5">
        <v>-0.65581999167383698</v>
      </c>
      <c r="H5" s="5">
        <v>9533.0242925664788</v>
      </c>
      <c r="L5" s="5" t="s">
        <v>53</v>
      </c>
      <c r="M5" s="5">
        <f t="shared" si="0"/>
        <v>-5.6433190755749214E-2</v>
      </c>
      <c r="N5" s="5">
        <f t="shared" si="1"/>
        <v>-0.13247127224679908</v>
      </c>
      <c r="O5" s="5">
        <f t="shared" si="2"/>
        <v>-1.6076562175288456E-2</v>
      </c>
      <c r="P5" s="5">
        <f t="shared" si="3"/>
        <v>-6.9446678878496093E-2</v>
      </c>
      <c r="Q5" s="5">
        <f t="shared" si="4"/>
        <v>-4.4511214887332342E-3</v>
      </c>
      <c r="R5" s="5">
        <f t="shared" si="5"/>
        <v>-0.5737913360115644</v>
      </c>
      <c r="S5" s="5">
        <v>9533.0242925664788</v>
      </c>
    </row>
    <row r="6" spans="1:19">
      <c r="A6" s="5" t="s">
        <v>78</v>
      </c>
      <c r="B6" s="5">
        <v>56.369962084093814</v>
      </c>
      <c r="C6" s="5">
        <v>17596.017366352113</v>
      </c>
      <c r="D6" s="5">
        <v>53.856352475116267</v>
      </c>
      <c r="E6" s="5">
        <v>2.4465194300607802</v>
      </c>
      <c r="F6" s="5">
        <v>75.760975609756102</v>
      </c>
      <c r="G6" s="5">
        <v>-8.0307160956148801E-2</v>
      </c>
      <c r="H6" s="5">
        <v>17784.370868790182</v>
      </c>
      <c r="L6" s="5" t="s">
        <v>78</v>
      </c>
      <c r="M6" s="5">
        <f t="shared" si="0"/>
        <v>-1.3159479095482197E-2</v>
      </c>
      <c r="N6" s="5">
        <f t="shared" si="1"/>
        <v>-9.951481241912076E-2</v>
      </c>
      <c r="O6" s="5">
        <f t="shared" si="2"/>
        <v>-1.7294169772325788E-2</v>
      </c>
      <c r="P6" s="5">
        <f t="shared" si="3"/>
        <v>-2.4306568596840258E-2</v>
      </c>
      <c r="Q6" s="5">
        <f t="shared" si="4"/>
        <v>-9.3299073659304874E-3</v>
      </c>
      <c r="R6" s="5">
        <f t="shared" si="5"/>
        <v>-0.2000224109277059</v>
      </c>
      <c r="S6" s="5">
        <v>17784.370868790182</v>
      </c>
    </row>
    <row r="7" spans="1:19">
      <c r="A7" s="5" t="s">
        <v>51</v>
      </c>
      <c r="B7" s="5">
        <v>50.141089194988943</v>
      </c>
      <c r="C7" s="5">
        <v>24050.439793313548</v>
      </c>
      <c r="D7" s="5">
        <v>54.771236878264261</v>
      </c>
      <c r="E7" s="5">
        <v>2.9720047764361812</v>
      </c>
      <c r="F7" s="5">
        <v>78.929268292682934</v>
      </c>
      <c r="G7" s="5">
        <v>0.16862794878328499</v>
      </c>
      <c r="H7" s="5">
        <v>24237.422020404701</v>
      </c>
      <c r="L7" s="5" t="s">
        <v>51</v>
      </c>
      <c r="M7" s="5">
        <f t="shared" si="0"/>
        <v>-3.0552803315153997E-2</v>
      </c>
      <c r="N7" s="5">
        <f t="shared" si="1"/>
        <v>-7.3691213737263533E-2</v>
      </c>
      <c r="O7" s="5">
        <f t="shared" si="2"/>
        <v>-1.4685963999073303E-2</v>
      </c>
      <c r="P7" s="5">
        <f t="shared" si="3"/>
        <v>7.1365850011897583E-3</v>
      </c>
      <c r="Q7" s="5">
        <f t="shared" si="4"/>
        <v>-2.5593175893405358E-3</v>
      </c>
      <c r="R7" s="5">
        <f t="shared" si="5"/>
        <v>-3.8350588134614449E-2</v>
      </c>
      <c r="S7" s="5">
        <v>24237.422020404701</v>
      </c>
    </row>
    <row r="8" spans="1:19">
      <c r="A8" s="5" t="s">
        <v>34</v>
      </c>
      <c r="B8" s="5">
        <v>97.020235938456324</v>
      </c>
      <c r="C8" s="5">
        <v>38674.29296875</v>
      </c>
      <c r="D8" s="5">
        <v>93.382634982303372</v>
      </c>
      <c r="E8" s="5">
        <v>1.80023018624815</v>
      </c>
      <c r="F8" s="5">
        <v>81.820999999999998</v>
      </c>
      <c r="G8" s="5">
        <v>0.98444968711322101</v>
      </c>
      <c r="H8" s="5">
        <v>38949.301519544133</v>
      </c>
      <c r="L8" s="5" t="s">
        <v>34</v>
      </c>
      <c r="M8" s="5">
        <f t="shared" si="0"/>
        <v>0.10035116807217601</v>
      </c>
      <c r="N8" s="5">
        <f t="shared" si="1"/>
        <v>-1.5182413010587637E-2</v>
      </c>
      <c r="O8" s="5">
        <f t="shared" si="2"/>
        <v>9.5389659874049335E-2</v>
      </c>
      <c r="P8" s="5">
        <f t="shared" si="3"/>
        <v>-6.297819303341938E-2</v>
      </c>
      <c r="Q8" s="5">
        <f t="shared" si="4"/>
        <v>3.6202658941258069E-3</v>
      </c>
      <c r="R8" s="5">
        <f t="shared" si="5"/>
        <v>0.49148784103709708</v>
      </c>
      <c r="S8" s="5">
        <v>38949.301519544133</v>
      </c>
    </row>
    <row r="9" spans="1:19">
      <c r="A9" s="5" t="s">
        <v>7</v>
      </c>
      <c r="B9" s="5">
        <v>68.868151448324895</v>
      </c>
      <c r="C9" s="5">
        <v>31823.307829056383</v>
      </c>
      <c r="D9" s="5">
        <v>62.616829621627424</v>
      </c>
      <c r="E9" s="5">
        <v>2.4353120243531401</v>
      </c>
      <c r="F9" s="5">
        <v>79.978048780487811</v>
      </c>
      <c r="G9" s="5">
        <v>0.37655304915749399</v>
      </c>
      <c r="H9" s="5">
        <v>32037.582723980337</v>
      </c>
      <c r="L9" s="5" t="s">
        <v>7</v>
      </c>
      <c r="M9" s="5">
        <f t="shared" si="0"/>
        <v>2.1740102841911392E-2</v>
      </c>
      <c r="N9" s="5">
        <f t="shared" si="1"/>
        <v>-4.2592625593482251E-2</v>
      </c>
      <c r="O9" s="5">
        <f t="shared" si="2"/>
        <v>7.6807090116562003E-3</v>
      </c>
      <c r="P9" s="5">
        <f t="shared" si="3"/>
        <v>-2.4977179455033471E-2</v>
      </c>
      <c r="Q9" s="5">
        <f t="shared" si="4"/>
        <v>-3.1809079647396766E-4</v>
      </c>
      <c r="R9" s="5">
        <f t="shared" si="5"/>
        <v>9.6687133210201615E-2</v>
      </c>
      <c r="S9" s="5">
        <v>32037.582723980337</v>
      </c>
    </row>
    <row r="10" spans="1:19">
      <c r="A10" s="5" t="s">
        <v>72</v>
      </c>
      <c r="B10" s="5">
        <v>71.002013204304575</v>
      </c>
      <c r="C10" s="5">
        <v>71026.483227189703</v>
      </c>
      <c r="D10" s="5">
        <v>60.763017770902117</v>
      </c>
      <c r="E10" s="5">
        <v>1.3722004976892499</v>
      </c>
      <c r="F10" s="5">
        <v>82.253658536585377</v>
      </c>
      <c r="G10" s="5">
        <v>0.503861198167737</v>
      </c>
      <c r="H10" s="5">
        <v>71242.377978397359</v>
      </c>
      <c r="L10" s="5" t="s">
        <v>72</v>
      </c>
      <c r="M10" s="5">
        <f t="shared" si="0"/>
        <v>2.7698636596329748E-2</v>
      </c>
      <c r="N10" s="5">
        <f t="shared" si="1"/>
        <v>0.11425596620413393</v>
      </c>
      <c r="O10" s="5">
        <f t="shared" si="2"/>
        <v>2.395754152934579E-3</v>
      </c>
      <c r="P10" s="5">
        <f t="shared" si="3"/>
        <v>-8.8589950496699363E-2</v>
      </c>
      <c r="Q10" s="5">
        <f t="shared" si="4"/>
        <v>4.5448501285132795E-3</v>
      </c>
      <c r="R10" s="5">
        <f t="shared" si="5"/>
        <v>0.17936787892117945</v>
      </c>
      <c r="S10" s="5">
        <v>71242.377978397359</v>
      </c>
    </row>
    <row r="11" spans="1:19">
      <c r="A11" s="5" t="s">
        <v>0</v>
      </c>
      <c r="B11" s="5">
        <v>75.669483321314246</v>
      </c>
      <c r="C11" s="5">
        <v>31428.354781610396</v>
      </c>
      <c r="D11" s="5">
        <v>75.368219089140908</v>
      </c>
      <c r="E11" s="5">
        <v>3.5194118998391999</v>
      </c>
      <c r="F11" s="5">
        <v>79.295121951219528</v>
      </c>
      <c r="G11" s="5">
        <v>0.14985635192642399</v>
      </c>
      <c r="H11" s="5">
        <v>31662.356874223839</v>
      </c>
      <c r="L11" s="5" t="s">
        <v>0</v>
      </c>
      <c r="M11" s="5">
        <f t="shared" si="0"/>
        <v>4.0731944945385685E-2</v>
      </c>
      <c r="N11" s="5">
        <f t="shared" si="1"/>
        <v>-4.4172799359738689E-2</v>
      </c>
      <c r="O11" s="5">
        <f t="shared" si="2"/>
        <v>4.4033113218922663E-2</v>
      </c>
      <c r="P11" s="5">
        <f t="shared" si="3"/>
        <v>3.9891458910691083E-2</v>
      </c>
      <c r="Q11" s="5">
        <f t="shared" si="4"/>
        <v>-1.7774942895033416E-3</v>
      </c>
      <c r="R11" s="5">
        <f t="shared" si="5"/>
        <v>-5.0541870769524488E-2</v>
      </c>
      <c r="S11" s="5">
        <v>31662.356874223839</v>
      </c>
    </row>
    <row r="12" spans="1:19">
      <c r="A12" s="5" t="s">
        <v>32</v>
      </c>
      <c r="B12" s="5">
        <v>41.907791986606902</v>
      </c>
      <c r="C12" s="5">
        <v>53149.767193405052</v>
      </c>
      <c r="D12" s="5">
        <v>41.552309548743857</v>
      </c>
      <c r="E12" s="5">
        <v>1.5656890623161499</v>
      </c>
      <c r="F12" s="5">
        <v>82.336585365853679</v>
      </c>
      <c r="G12" s="5">
        <v>0.64264005436334304</v>
      </c>
      <c r="H12" s="5">
        <v>53317.772209422939</v>
      </c>
      <c r="L12" s="5" t="s">
        <v>32</v>
      </c>
      <c r="M12" s="5">
        <f t="shared" si="0"/>
        <v>-5.3543223940495571E-2</v>
      </c>
      <c r="N12" s="5">
        <f t="shared" si="1"/>
        <v>4.2732736073176222E-2</v>
      </c>
      <c r="O12" s="5">
        <f t="shared" si="2"/>
        <v>-5.2371252390073432E-2</v>
      </c>
      <c r="P12" s="5">
        <f t="shared" si="3"/>
        <v>-7.701229053150653E-2</v>
      </c>
      <c r="Q12" s="5">
        <f t="shared" si="4"/>
        <v>4.7220634098097264E-3</v>
      </c>
      <c r="R12" s="5">
        <f t="shared" si="5"/>
        <v>0.26949831761168352</v>
      </c>
      <c r="S12" s="5">
        <v>53317.772209422939</v>
      </c>
    </row>
    <row r="13" spans="1:19">
      <c r="A13" s="5" t="s">
        <v>57</v>
      </c>
      <c r="B13" s="5">
        <v>33.889754234383176</v>
      </c>
      <c r="C13" s="5">
        <v>46103.084085588387</v>
      </c>
      <c r="D13" s="5">
        <v>34.218433309991205</v>
      </c>
      <c r="E13" s="5">
        <v>1.9990494229146201</v>
      </c>
      <c r="F13" s="5">
        <v>82.980487804878067</v>
      </c>
      <c r="G13" s="5">
        <v>0.26199524189874701</v>
      </c>
      <c r="H13" s="5">
        <v>46256.43380560245</v>
      </c>
      <c r="L13" s="5" t="s">
        <v>57</v>
      </c>
      <c r="M13" s="5">
        <f t="shared" si="0"/>
        <v>-7.5932560296023147E-2</v>
      </c>
      <c r="N13" s="5">
        <f t="shared" si="1"/>
        <v>1.4539552457807121E-2</v>
      </c>
      <c r="O13" s="5">
        <f t="shared" si="2"/>
        <v>-7.3279094168134273E-2</v>
      </c>
      <c r="P13" s="5">
        <f t="shared" si="3"/>
        <v>-5.1081564821296235E-2</v>
      </c>
      <c r="Q13" s="5">
        <f t="shared" si="4"/>
        <v>6.0980724175231501E-3</v>
      </c>
      <c r="R13" s="5">
        <f t="shared" si="5"/>
        <v>2.2287143855195049E-2</v>
      </c>
      <c r="S13" s="5">
        <v>46256.43380560245</v>
      </c>
    </row>
    <row r="14" spans="1:19">
      <c r="A14" s="5" t="s">
        <v>92</v>
      </c>
      <c r="B14" s="5">
        <v>41.434059372090822</v>
      </c>
      <c r="C14" s="5">
        <v>56103.732318255446</v>
      </c>
      <c r="D14" s="5">
        <v>37.656671217402753</v>
      </c>
      <c r="E14" s="5">
        <v>2.2564981433876001</v>
      </c>
      <c r="F14" s="5">
        <v>80.792682926829272</v>
      </c>
      <c r="G14" s="5">
        <v>0.27495782918488099</v>
      </c>
      <c r="H14" s="5">
        <v>56266.147187744347</v>
      </c>
      <c r="L14" s="5" t="s">
        <v>92</v>
      </c>
      <c r="M14" s="5">
        <f t="shared" si="0"/>
        <v>-5.486606117034553E-2</v>
      </c>
      <c r="N14" s="5">
        <f t="shared" si="1"/>
        <v>5.4551300904894302E-2</v>
      </c>
      <c r="O14" s="5">
        <f t="shared" si="2"/>
        <v>-6.3477165171345246E-2</v>
      </c>
      <c r="P14" s="5">
        <f t="shared" si="3"/>
        <v>-3.5676759116847097E-2</v>
      </c>
      <c r="Q14" s="5">
        <f t="shared" si="4"/>
        <v>1.4227690844968071E-3</v>
      </c>
      <c r="R14" s="5">
        <f t="shared" si="5"/>
        <v>3.0705743854437563E-2</v>
      </c>
      <c r="S14" s="5">
        <v>56266.147187744347</v>
      </c>
    </row>
    <row r="15" spans="1:19">
      <c r="A15" s="5" t="s">
        <v>45</v>
      </c>
      <c r="B15" s="5">
        <v>42.111678322050224</v>
      </c>
      <c r="C15" s="5">
        <v>24626.148185897262</v>
      </c>
      <c r="D15" s="5">
        <v>47.664849622566621</v>
      </c>
      <c r="E15" s="5">
        <v>2.741018756794773</v>
      </c>
      <c r="F15" s="5">
        <v>81.839024390243921</v>
      </c>
      <c r="G15" s="5">
        <v>-2.1304519939699899E-2</v>
      </c>
      <c r="H15" s="5">
        <v>24800.48345246898</v>
      </c>
      <c r="L15" s="5" t="s">
        <v>45</v>
      </c>
      <c r="M15" s="5">
        <f t="shared" si="0"/>
        <v>-5.2973897643513443E-2</v>
      </c>
      <c r="N15" s="5">
        <f t="shared" si="1"/>
        <v>-7.1387853110330121E-2</v>
      </c>
      <c r="O15" s="5">
        <f t="shared" si="2"/>
        <v>-3.4945266926855553E-2</v>
      </c>
      <c r="P15" s="5">
        <f t="shared" si="3"/>
        <v>-6.6847878395170472E-3</v>
      </c>
      <c r="Q15" s="5">
        <f t="shared" si="4"/>
        <v>3.6587837220311624E-3</v>
      </c>
      <c r="R15" s="5">
        <f t="shared" si="5"/>
        <v>-0.1617029286629483</v>
      </c>
      <c r="S15" s="5">
        <v>24800.48345246898</v>
      </c>
    </row>
    <row r="16" spans="1:19">
      <c r="A16" s="5" t="s">
        <v>61</v>
      </c>
      <c r="B16" s="5">
        <v>75.390890277712558</v>
      </c>
      <c r="C16" s="5">
        <v>23292.326388247828</v>
      </c>
      <c r="D16" s="5">
        <v>71.113671228188934</v>
      </c>
      <c r="E16" s="5">
        <v>3.7037037037036891</v>
      </c>
      <c r="F16" s="5">
        <v>76.724390243902462</v>
      </c>
      <c r="G16" s="5">
        <v>-0.31451007746408699</v>
      </c>
      <c r="H16" s="5">
        <v>23518.944533623871</v>
      </c>
      <c r="L16" s="5" t="s">
        <v>61</v>
      </c>
      <c r="M16" s="5">
        <f t="shared" si="0"/>
        <v>3.9954009800620569E-2</v>
      </c>
      <c r="N16" s="5">
        <f t="shared" si="1"/>
        <v>-7.6724361404508765E-2</v>
      </c>
      <c r="O16" s="5">
        <f t="shared" si="2"/>
        <v>3.1904000234449899E-2</v>
      </c>
      <c r="P16" s="5">
        <f t="shared" si="3"/>
        <v>5.0918817781378738E-2</v>
      </c>
      <c r="Q16" s="5">
        <f t="shared" si="4"/>
        <v>-7.27110600969255E-3</v>
      </c>
      <c r="R16" s="5">
        <f t="shared" si="5"/>
        <v>-0.35212635663038211</v>
      </c>
      <c r="S16" s="5">
        <v>23518.944533623871</v>
      </c>
    </row>
    <row r="17" spans="1:19">
      <c r="A17" s="5" t="s">
        <v>35</v>
      </c>
      <c r="B17" s="5">
        <v>42.451986287291319</v>
      </c>
      <c r="C17" s="5">
        <v>86040.530985128789</v>
      </c>
      <c r="D17" s="5">
        <v>43.515206980839018</v>
      </c>
      <c r="E17" s="5">
        <v>5.8568384997006557</v>
      </c>
      <c r="F17" s="5">
        <v>82.809756097560978</v>
      </c>
      <c r="G17" s="5">
        <v>0.21834607059254499</v>
      </c>
      <c r="H17" s="5">
        <v>86215.383119064776</v>
      </c>
      <c r="L17" s="5" t="s">
        <v>35</v>
      </c>
      <c r="M17" s="5">
        <f t="shared" si="0"/>
        <v>-5.2023631539299238E-2</v>
      </c>
      <c r="N17" s="5">
        <f t="shared" si="1"/>
        <v>0.17432590248095486</v>
      </c>
      <c r="O17" s="5">
        <f t="shared" si="2"/>
        <v>-4.6775309998797455E-2</v>
      </c>
      <c r="P17" s="5">
        <f t="shared" si="3"/>
        <v>0.17975466177736057</v>
      </c>
      <c r="Q17" s="5">
        <f t="shared" si="4"/>
        <v>5.7332215442657689E-3</v>
      </c>
      <c r="R17" s="5">
        <f t="shared" si="5"/>
        <v>-6.0609710244944647E-3</v>
      </c>
      <c r="S17" s="5">
        <v>86215.383119064776</v>
      </c>
    </row>
    <row r="18" spans="1:19">
      <c r="A18" s="5" t="s">
        <v>11</v>
      </c>
      <c r="B18" s="5">
        <v>143.98460166103095</v>
      </c>
      <c r="C18" s="5">
        <v>112894.95324080539</v>
      </c>
      <c r="D18" s="5">
        <v>102.18527319637008</v>
      </c>
      <c r="E18" s="5">
        <v>2.1134499957731672</v>
      </c>
      <c r="F18" s="5">
        <v>83.009756097560995</v>
      </c>
      <c r="G18" s="5">
        <v>1.57375843711631</v>
      </c>
      <c r="H18" s="5">
        <v>113227.82008019323</v>
      </c>
      <c r="L18" s="5" t="s">
        <v>11</v>
      </c>
      <c r="M18" s="5">
        <f t="shared" si="0"/>
        <v>0.23149310246817079</v>
      </c>
      <c r="N18" s="5">
        <f t="shared" si="1"/>
        <v>0.28176817652036851</v>
      </c>
      <c r="O18" s="5">
        <f t="shared" si="2"/>
        <v>0.12048473388644104</v>
      </c>
      <c r="P18" s="5">
        <f t="shared" si="3"/>
        <v>-4.4236245900596625E-2</v>
      </c>
      <c r="Q18" s="5">
        <f t="shared" si="4"/>
        <v>6.1606182815101282E-3</v>
      </c>
      <c r="R18" s="5">
        <f t="shared" si="5"/>
        <v>0.87421657665275143</v>
      </c>
      <c r="S18" s="5">
        <v>113227.82008019323</v>
      </c>
    </row>
    <row r="19" spans="1:19">
      <c r="A19" s="5" t="s">
        <v>15</v>
      </c>
      <c r="B19" s="5">
        <v>32.505041554007022</v>
      </c>
      <c r="C19" s="5">
        <v>40385.341395766904</v>
      </c>
      <c r="D19" s="5">
        <v>30.31872695794554</v>
      </c>
      <c r="E19" s="5">
        <v>0.98237302306141705</v>
      </c>
      <c r="F19" s="5">
        <v>83.951219512195138</v>
      </c>
      <c r="G19" s="5">
        <v>-5.3438737843772503E-2</v>
      </c>
      <c r="H19" s="5">
        <v>40533.045318076271</v>
      </c>
      <c r="L19" s="5" t="s">
        <v>15</v>
      </c>
      <c r="M19" s="5">
        <f t="shared" si="0"/>
        <v>-7.9799191872821043E-2</v>
      </c>
      <c r="N19" s="5">
        <f t="shared" si="1"/>
        <v>-8.3366528508658187E-3</v>
      </c>
      <c r="O19" s="5">
        <f t="shared" si="2"/>
        <v>-8.439660429990288E-2</v>
      </c>
      <c r="P19" s="5">
        <f t="shared" si="3"/>
        <v>-0.11191582484505568</v>
      </c>
      <c r="Q19" s="5">
        <f t="shared" si="4"/>
        <v>8.1725102397577874E-3</v>
      </c>
      <c r="R19" s="5">
        <f t="shared" si="5"/>
        <v>-0.18257261469486138</v>
      </c>
      <c r="S19" s="5">
        <v>40533.045318076271</v>
      </c>
    </row>
    <row r="20" spans="1:19">
      <c r="A20" s="5" t="s">
        <v>58</v>
      </c>
      <c r="B20" s="5">
        <v>65.334130371427975</v>
      </c>
      <c r="C20" s="5">
        <v>23409.084515477498</v>
      </c>
      <c r="D20" s="5">
        <v>66.928377524497009</v>
      </c>
      <c r="E20" s="5">
        <v>1.265798858287287</v>
      </c>
      <c r="F20" s="5">
        <v>76.429268292682934</v>
      </c>
      <c r="G20" s="5">
        <v>-0.93796839712161995</v>
      </c>
      <c r="H20" s="5">
        <v>23618.104122127275</v>
      </c>
      <c r="L20" s="5" t="s">
        <v>58</v>
      </c>
      <c r="M20" s="5">
        <f t="shared" si="0"/>
        <v>1.1871804759101224E-2</v>
      </c>
      <c r="N20" s="5">
        <f t="shared" si="1"/>
        <v>-7.625722200442403E-2</v>
      </c>
      <c r="O20" s="5">
        <f t="shared" si="2"/>
        <v>1.9972321037421616E-2</v>
      </c>
      <c r="P20" s="5">
        <f t="shared" si="3"/>
        <v>-9.4956642001752412E-2</v>
      </c>
      <c r="Q20" s="5">
        <f t="shared" si="4"/>
        <v>-7.9017768048945721E-3</v>
      </c>
      <c r="R20" s="5">
        <f t="shared" si="5"/>
        <v>-0.75703365588622584</v>
      </c>
      <c r="S20" s="5">
        <v>23618.104122127275</v>
      </c>
    </row>
    <row r="21" spans="1:19">
      <c r="A21" s="5" t="s">
        <v>37</v>
      </c>
      <c r="B21" s="5">
        <v>74.113980754518366</v>
      </c>
      <c r="C21" s="5">
        <v>29384.018959866335</v>
      </c>
      <c r="D21" s="5">
        <v>68.934410108861286</v>
      </c>
      <c r="E21" s="5">
        <v>0.71573583522872319</v>
      </c>
      <c r="F21" s="5">
        <v>77.195121951219519</v>
      </c>
      <c r="G21" s="5">
        <v>0.57963346478516098</v>
      </c>
      <c r="H21" s="5">
        <v>29605.557841980946</v>
      </c>
      <c r="L21" s="5" t="s">
        <v>37</v>
      </c>
      <c r="M21" s="5">
        <f t="shared" si="0"/>
        <v>3.6388404637132506E-2</v>
      </c>
      <c r="N21" s="5">
        <f t="shared" si="1"/>
        <v>-5.2352014220411601E-2</v>
      </c>
      <c r="O21" s="5">
        <f t="shared" si="2"/>
        <v>2.5691235634575531E-2</v>
      </c>
      <c r="P21" s="5">
        <f t="shared" si="3"/>
        <v>-0.12787043539661386</v>
      </c>
      <c r="Q21" s="5">
        <f t="shared" si="4"/>
        <v>-6.2651600305687512E-3</v>
      </c>
      <c r="R21" s="5">
        <f t="shared" si="5"/>
        <v>0.22857845622393783</v>
      </c>
      <c r="S21" s="5">
        <v>29605.557841980946</v>
      </c>
    </row>
    <row r="22" spans="1:19">
      <c r="A22" s="5" t="s">
        <v>56</v>
      </c>
      <c r="B22" s="5">
        <v>191.53297018761137</v>
      </c>
      <c r="C22" s="5">
        <v>137781.68165912307</v>
      </c>
      <c r="D22" s="5">
        <v>159.73495096558054</v>
      </c>
      <c r="E22" s="5">
        <v>2.051132699548591</v>
      </c>
      <c r="F22" s="5">
        <v>83.195121951219519</v>
      </c>
      <c r="G22" s="5">
        <v>1.57538901671221</v>
      </c>
      <c r="H22" s="5">
        <v>138219.77122394377</v>
      </c>
      <c r="L22" s="5" t="s">
        <v>56</v>
      </c>
      <c r="M22" s="5">
        <f t="shared" si="0"/>
        <v>0.36426578937687737</v>
      </c>
      <c r="N22" s="5">
        <f t="shared" si="1"/>
        <v>0.38133787380179607</v>
      </c>
      <c r="O22" s="5">
        <f t="shared" si="2"/>
        <v>0.28455070909598257</v>
      </c>
      <c r="P22" s="5">
        <f t="shared" si="3"/>
        <v>-4.7965088827461935E-2</v>
      </c>
      <c r="Q22" s="5">
        <f t="shared" si="4"/>
        <v>6.5567420867609378E-3</v>
      </c>
      <c r="R22" s="5">
        <f t="shared" si="5"/>
        <v>0.87527556256982153</v>
      </c>
      <c r="S22" s="5">
        <v>138219.77122394377</v>
      </c>
    </row>
    <row r="23" spans="1:19">
      <c r="A23" s="5" t="s">
        <v>48</v>
      </c>
      <c r="B23" s="5">
        <v>31.413547115249891</v>
      </c>
      <c r="C23" s="5">
        <v>7576.195894133255</v>
      </c>
      <c r="D23" s="5">
        <v>57.252568313433194</v>
      </c>
      <c r="E23" s="5">
        <v>4.6777351600705153</v>
      </c>
      <c r="F23" s="5">
        <v>71.331999999999994</v>
      </c>
      <c r="G23" s="5">
        <v>-2.2830614707263699</v>
      </c>
      <c r="H23" s="5">
        <v>7738.5886832512824</v>
      </c>
      <c r="L23" s="5" t="s">
        <v>48</v>
      </c>
      <c r="M23" s="5">
        <f t="shared" si="0"/>
        <v>-8.2847049325567954E-2</v>
      </c>
      <c r="N23" s="5">
        <f t="shared" si="1"/>
        <v>-0.13960327137736825</v>
      </c>
      <c r="O23" s="5">
        <f t="shared" si="2"/>
        <v>-7.6120397390336573E-3</v>
      </c>
      <c r="P23" s="5">
        <f t="shared" si="3"/>
        <v>0.10920135772869757</v>
      </c>
      <c r="Q23" s="5">
        <f t="shared" si="4"/>
        <v>-1.8794555990652721E-2</v>
      </c>
      <c r="R23" s="5">
        <f t="shared" si="5"/>
        <v>-1.6306093008150033</v>
      </c>
      <c r="S23" s="5">
        <v>7738.5886832512824</v>
      </c>
    </row>
    <row r="24" spans="1:19">
      <c r="A24" s="5" t="s">
        <v>54</v>
      </c>
      <c r="B24" s="5">
        <v>43.74708296343379</v>
      </c>
      <c r="C24" s="5">
        <v>13263.328127769921</v>
      </c>
      <c r="D24" s="5">
        <v>66.197021517541202</v>
      </c>
      <c r="E24" s="5">
        <v>3.3367500928228142</v>
      </c>
      <c r="F24" s="5">
        <v>77.890243902439039</v>
      </c>
      <c r="G24" s="5">
        <v>-6.4151191528509499E-4</v>
      </c>
      <c r="H24" s="5">
        <v>13454.498584734241</v>
      </c>
      <c r="L24" s="5" t="s">
        <v>54</v>
      </c>
      <c r="M24" s="5">
        <f t="shared" si="0"/>
        <v>-4.840724109675764E-2</v>
      </c>
      <c r="N24" s="5">
        <f t="shared" si="1"/>
        <v>-0.11684953591707141</v>
      </c>
      <c r="O24" s="5">
        <f t="shared" si="2"/>
        <v>1.7887328711526151E-2</v>
      </c>
      <c r="P24" s="5">
        <f t="shared" si="3"/>
        <v>2.8961633190285805E-2</v>
      </c>
      <c r="Q24" s="5">
        <f t="shared" si="4"/>
        <v>-4.7796957608781006E-3</v>
      </c>
      <c r="R24" s="5">
        <f t="shared" si="5"/>
        <v>-0.14828326208722048</v>
      </c>
      <c r="S24" s="5">
        <v>13454.498584734241</v>
      </c>
    </row>
    <row r="25" spans="1:19">
      <c r="A25" s="5" t="s">
        <v>89</v>
      </c>
      <c r="B25" s="5">
        <v>82.430360485327299</v>
      </c>
      <c r="C25" s="5">
        <v>67520.421895628111</v>
      </c>
      <c r="D25" s="5">
        <v>71.400291681032442</v>
      </c>
      <c r="E25" s="5">
        <v>3.34754304219953</v>
      </c>
      <c r="F25" s="5">
        <v>81.965853658536588</v>
      </c>
      <c r="G25" s="5">
        <v>0.64882328002165701</v>
      </c>
      <c r="H25" s="5">
        <v>67760.214767775222</v>
      </c>
      <c r="L25" s="5" t="s">
        <v>89</v>
      </c>
      <c r="M25" s="5">
        <f t="shared" si="0"/>
        <v>5.9610822491392768E-2</v>
      </c>
      <c r="N25" s="5">
        <f t="shared" si="1"/>
        <v>0.10022851110574678</v>
      </c>
      <c r="O25" s="5">
        <f t="shared" si="2"/>
        <v>3.2721114524808775E-2</v>
      </c>
      <c r="P25" s="5">
        <f t="shared" si="3"/>
        <v>2.9607444471929804E-2</v>
      </c>
      <c r="Q25" s="5">
        <f t="shared" si="4"/>
        <v>3.9298157993080162E-3</v>
      </c>
      <c r="R25" s="5">
        <f t="shared" si="5"/>
        <v>0.27351403626208598</v>
      </c>
      <c r="S25" s="5">
        <v>67760.214767775222</v>
      </c>
    </row>
    <row r="26" spans="1:19">
      <c r="A26" s="5" t="s">
        <v>43</v>
      </c>
      <c r="B26" s="5">
        <v>61.679203747961672</v>
      </c>
      <c r="C26" s="5">
        <v>9291.85661671864</v>
      </c>
      <c r="D26" s="5">
        <v>74.645672427593908</v>
      </c>
      <c r="E26" s="5">
        <v>3.4897408602695368</v>
      </c>
      <c r="F26" s="5">
        <v>76.61658536585368</v>
      </c>
      <c r="G26" s="5">
        <v>-0.18931190495865199</v>
      </c>
      <c r="H26" s="5">
        <v>9508.0985072153599</v>
      </c>
      <c r="L26" s="5" t="s">
        <v>43</v>
      </c>
      <c r="M26" s="5">
        <f t="shared" si="0"/>
        <v>1.6658935304013369E-3</v>
      </c>
      <c r="N26" s="5">
        <f t="shared" si="1"/>
        <v>-0.13273905781285145</v>
      </c>
      <c r="O26" s="5">
        <f t="shared" si="2"/>
        <v>4.1973235088301232E-2</v>
      </c>
      <c r="P26" s="5">
        <f t="shared" si="3"/>
        <v>3.8116050593337822E-2</v>
      </c>
      <c r="Q26" s="5">
        <f t="shared" si="4"/>
        <v>-7.5014832753779077E-3</v>
      </c>
      <c r="R26" s="5">
        <f t="shared" si="5"/>
        <v>-0.27081594292255146</v>
      </c>
      <c r="S26" s="5">
        <v>9508.0985072153599</v>
      </c>
    </row>
    <row r="27" spans="1:19">
      <c r="A27" s="5" t="s">
        <v>66</v>
      </c>
      <c r="B27" s="5">
        <v>47.491709011612585</v>
      </c>
      <c r="C27" s="5">
        <v>86785.433448917611</v>
      </c>
      <c r="D27" s="5">
        <v>33.87180017111168</v>
      </c>
      <c r="E27" s="5">
        <v>3.1453013443108051</v>
      </c>
      <c r="F27" s="5">
        <v>83.160975609756093</v>
      </c>
      <c r="G27" s="5">
        <v>0.94985513837235702</v>
      </c>
      <c r="H27" s="5">
        <v>86954.05309019277</v>
      </c>
      <c r="L27" s="5" t="s">
        <v>66</v>
      </c>
      <c r="M27" s="5">
        <f t="shared" si="0"/>
        <v>-3.7950855792872926E-2</v>
      </c>
      <c r="N27" s="5">
        <f t="shared" si="1"/>
        <v>0.17730619428857752</v>
      </c>
      <c r="O27" s="5">
        <f t="shared" si="2"/>
        <v>-7.4267296121206555E-2</v>
      </c>
      <c r="P27" s="5">
        <f t="shared" si="3"/>
        <v>1.750602848668047E-2</v>
      </c>
      <c r="Q27" s="5">
        <f t="shared" si="4"/>
        <v>6.4837719121094437E-3</v>
      </c>
      <c r="R27" s="5">
        <f t="shared" si="5"/>
        <v>0.46902028409226026</v>
      </c>
      <c r="S27" s="5">
        <v>86954.05309019277</v>
      </c>
    </row>
    <row r="28" spans="1:19">
      <c r="A28" s="5" t="s">
        <v>87</v>
      </c>
      <c r="B28" s="5">
        <v>52.179813391901099</v>
      </c>
      <c r="C28" s="5">
        <v>25103.56566142297</v>
      </c>
      <c r="D28" s="5">
        <v>48.179629455262884</v>
      </c>
      <c r="E28" s="5">
        <v>3.7906089763019661</v>
      </c>
      <c r="F28" s="5">
        <v>78.409756097560987</v>
      </c>
      <c r="G28" s="5">
        <v>-0.349832361234927</v>
      </c>
      <c r="H28" s="5">
        <v>25285.775636982758</v>
      </c>
      <c r="L28" s="5" t="s">
        <v>87</v>
      </c>
      <c r="M28" s="5">
        <f t="shared" si="0"/>
        <v>-2.4859928924763443E-2</v>
      </c>
      <c r="N28" s="5">
        <f t="shared" si="1"/>
        <v>-6.9477746136206137E-2</v>
      </c>
      <c r="O28" s="5">
        <f t="shared" si="2"/>
        <v>-3.3477702579958329E-2</v>
      </c>
      <c r="P28" s="5">
        <f t="shared" si="3"/>
        <v>5.6118916801521868E-2</v>
      </c>
      <c r="Q28" s="5">
        <f t="shared" si="4"/>
        <v>-3.6695066751093182E-3</v>
      </c>
      <c r="R28" s="5">
        <f t="shared" si="5"/>
        <v>-0.37506654376760018</v>
      </c>
      <c r="S28" s="5">
        <v>25285.775636982758</v>
      </c>
    </row>
    <row r="29" spans="1:19">
      <c r="A29" s="5" t="s">
        <v>14</v>
      </c>
      <c r="B29" s="5">
        <v>45.771725043315008</v>
      </c>
      <c r="C29" s="5">
        <v>29292.242104753037</v>
      </c>
      <c r="D29" s="5">
        <v>43.924683810710995</v>
      </c>
      <c r="E29" s="5">
        <v>2.416131877918839</v>
      </c>
      <c r="F29" s="5">
        <v>82.3829268292683</v>
      </c>
      <c r="G29" s="5">
        <v>1.09536933248007</v>
      </c>
      <c r="H29" s="5">
        <v>29467.832941646731</v>
      </c>
      <c r="L29" s="5" t="s">
        <v>14</v>
      </c>
      <c r="M29" s="5">
        <f t="shared" si="0"/>
        <v>-4.2753689202038321E-2</v>
      </c>
      <c r="N29" s="5">
        <f t="shared" si="1"/>
        <v>-5.2719205661868662E-2</v>
      </c>
      <c r="O29" s="5">
        <f t="shared" si="2"/>
        <v>-4.5607949589099389E-2</v>
      </c>
      <c r="P29" s="5">
        <f t="shared" si="3"/>
        <v>-2.6124850450097912E-2</v>
      </c>
      <c r="Q29" s="5">
        <f t="shared" si="4"/>
        <v>4.821094361122406E-3</v>
      </c>
      <c r="R29" s="5">
        <f t="shared" si="5"/>
        <v>0.56352501276748179</v>
      </c>
      <c r="S29" s="5">
        <v>29467.832941646731</v>
      </c>
    </row>
    <row r="30" spans="1:19">
      <c r="A30" s="5" t="s">
        <v>47</v>
      </c>
      <c r="B30" s="5">
        <v>35.603026699946504</v>
      </c>
      <c r="C30" s="5">
        <v>20080.209621559497</v>
      </c>
      <c r="D30" s="5">
        <v>41.61195709395377</v>
      </c>
      <c r="E30" s="5">
        <v>5.7214057435443859</v>
      </c>
      <c r="F30" s="5">
        <v>76.458536585365863</v>
      </c>
      <c r="G30" s="5">
        <v>-4.8582020476197703E-2</v>
      </c>
      <c r="H30" s="5">
        <v>20239.555965661835</v>
      </c>
      <c r="L30" s="5" t="s">
        <v>47</v>
      </c>
      <c r="M30" s="5">
        <f t="shared" si="0"/>
        <v>-7.1148467892676343E-2</v>
      </c>
      <c r="N30" s="5">
        <f t="shared" si="1"/>
        <v>-8.9575769139418074E-2</v>
      </c>
      <c r="O30" s="5">
        <f t="shared" si="2"/>
        <v>-5.2201205692106421E-2</v>
      </c>
      <c r="P30" s="5">
        <f t="shared" si="3"/>
        <v>0.1716508526352043</v>
      </c>
      <c r="Q30" s="5">
        <f t="shared" si="4"/>
        <v>-7.839230940907594E-3</v>
      </c>
      <c r="R30" s="5">
        <f t="shared" si="5"/>
        <v>-0.17941840173378668</v>
      </c>
      <c r="S30" s="5">
        <v>20239.555965661835</v>
      </c>
    </row>
    <row r="31" spans="1:19">
      <c r="A31" s="5" t="s">
        <v>23</v>
      </c>
      <c r="B31" s="5">
        <v>53.583766709022605</v>
      </c>
      <c r="C31" s="5">
        <v>13679.206598355697</v>
      </c>
      <c r="D31" s="5">
        <v>58.14126167989366</v>
      </c>
      <c r="E31" s="5">
        <v>4.6705297488997006</v>
      </c>
      <c r="F31" s="5">
        <v>75.968292682926844</v>
      </c>
      <c r="G31" s="5">
        <v>-0.55576142398442496</v>
      </c>
      <c r="H31" s="5">
        <v>13871.014687752453</v>
      </c>
      <c r="L31" s="5" t="s">
        <v>23</v>
      </c>
      <c r="M31" s="5">
        <f t="shared" si="0"/>
        <v>-2.0939570351274028E-2</v>
      </c>
      <c r="N31" s="5">
        <f t="shared" si="1"/>
        <v>-0.11518564130119213</v>
      </c>
      <c r="O31" s="5">
        <f t="shared" si="2"/>
        <v>-5.0785008995061628E-3</v>
      </c>
      <c r="P31" s="5">
        <f t="shared" si="3"/>
        <v>0.10877021183330085</v>
      </c>
      <c r="Q31" s="5">
        <f t="shared" si="4"/>
        <v>-8.8868741626893996E-3</v>
      </c>
      <c r="R31" s="5">
        <f t="shared" si="5"/>
        <v>-0.50880793113410194</v>
      </c>
      <c r="S31" s="5">
        <v>13871.014687752453</v>
      </c>
    </row>
    <row r="32" spans="1:19">
      <c r="A32" s="5" t="s">
        <v>20</v>
      </c>
      <c r="B32" s="5">
        <v>85.483498956127875</v>
      </c>
      <c r="C32" s="5">
        <v>25992.674850204778</v>
      </c>
      <c r="D32" s="5">
        <v>85.729301195506991</v>
      </c>
      <c r="E32" s="5">
        <v>2.7576090942427181</v>
      </c>
      <c r="F32" s="5">
        <v>78.370731707317091</v>
      </c>
      <c r="G32" s="5">
        <v>-8.6110840160076904E-2</v>
      </c>
      <c r="H32" s="5">
        <v>26244.929880317814</v>
      </c>
      <c r="L32" s="5" t="s">
        <v>20</v>
      </c>
      <c r="M32" s="5">
        <f t="shared" si="0"/>
        <v>6.8136317914982772E-2</v>
      </c>
      <c r="N32" s="5">
        <f t="shared" si="1"/>
        <v>-6.592049540846566E-2</v>
      </c>
      <c r="O32" s="5">
        <f t="shared" si="2"/>
        <v>7.3571089900983988E-2</v>
      </c>
      <c r="P32" s="5">
        <f t="shared" si="3"/>
        <v>-5.6920817018158796E-3</v>
      </c>
      <c r="Q32" s="5">
        <f t="shared" si="4"/>
        <v>-3.7529011604252684E-3</v>
      </c>
      <c r="R32" s="5">
        <f t="shared" si="5"/>
        <v>-0.2037916317370467</v>
      </c>
      <c r="S32" s="5">
        <v>26244.929880317814</v>
      </c>
    </row>
    <row r="33" spans="1:19">
      <c r="A33" s="5" t="s">
        <v>55</v>
      </c>
      <c r="B33" s="5">
        <v>80.917389492035696</v>
      </c>
      <c r="C33" s="5">
        <v>34301.031868659353</v>
      </c>
      <c r="D33" s="5">
        <v>74.740539192438021</v>
      </c>
      <c r="E33" s="5">
        <v>1.9656265643251249</v>
      </c>
      <c r="F33" s="5">
        <v>82.285365853658547</v>
      </c>
      <c r="G33" s="5">
        <v>0.32670589607575401</v>
      </c>
      <c r="H33" s="5">
        <v>34541.267495657892</v>
      </c>
      <c r="L33" s="5" t="s">
        <v>55</v>
      </c>
      <c r="M33" s="5">
        <f t="shared" si="0"/>
        <v>5.5386046116952824E-2</v>
      </c>
      <c r="N33" s="5">
        <f t="shared" si="1"/>
        <v>-3.2679461097798783E-2</v>
      </c>
      <c r="O33" s="5">
        <f t="shared" si="2"/>
        <v>4.2243686790073412E-2</v>
      </c>
      <c r="P33" s="5">
        <f t="shared" si="3"/>
        <v>-5.3081468498084899E-2</v>
      </c>
      <c r="Q33" s="5">
        <f t="shared" si="4"/>
        <v>4.6126081478325004E-3</v>
      </c>
      <c r="R33" s="5">
        <f t="shared" si="5"/>
        <v>6.4313716265494272E-2</v>
      </c>
      <c r="S33" s="5">
        <v>34541.267495657892</v>
      </c>
    </row>
    <row r="34" spans="1:19">
      <c r="A34" s="5" t="s">
        <v>64</v>
      </c>
      <c r="B34" s="5">
        <v>37.055879272170756</v>
      </c>
      <c r="C34" s="5">
        <v>35326.768306927806</v>
      </c>
      <c r="D34" s="5">
        <v>32.89438196609234</v>
      </c>
      <c r="E34" s="5">
        <v>2.7741782653477198</v>
      </c>
      <c r="F34" s="5">
        <v>83.887804878048797</v>
      </c>
      <c r="G34" s="5">
        <v>1.0212126093838101</v>
      </c>
      <c r="H34" s="5">
        <v>35484.401763918846</v>
      </c>
      <c r="L34" s="5" t="s">
        <v>64</v>
      </c>
      <c r="M34" s="5">
        <f t="shared" si="0"/>
        <v>-6.709156445573497E-2</v>
      </c>
      <c r="N34" s="5">
        <f t="shared" si="1"/>
        <v>-2.8575576290917299E-2</v>
      </c>
      <c r="O34" s="5">
        <f t="shared" si="2"/>
        <v>-7.7053776901118962E-2</v>
      </c>
      <c r="P34" s="5">
        <f t="shared" si="3"/>
        <v>-4.7006420819669477E-3</v>
      </c>
      <c r="Q34" s="5">
        <f t="shared" si="4"/>
        <v>8.0369942011193456E-3</v>
      </c>
      <c r="R34" s="5">
        <f t="shared" si="5"/>
        <v>0.51536365614774216</v>
      </c>
      <c r="S34" s="5">
        <v>35484.401763918846</v>
      </c>
    </row>
    <row r="35" spans="1:19">
      <c r="A35" s="5" t="s">
        <v>83</v>
      </c>
      <c r="B35" s="5">
        <v>54.309580972447122</v>
      </c>
      <c r="C35" s="5">
        <v>57117.487744061626</v>
      </c>
      <c r="D35" s="5">
        <v>51.573510508017208</v>
      </c>
      <c r="E35" s="5">
        <v>2.8358165822403398</v>
      </c>
      <c r="F35" s="5">
        <v>84.063414634146341</v>
      </c>
      <c r="G35" s="5">
        <v>0.31343212998360698</v>
      </c>
      <c r="H35" s="5">
        <v>57310.58349888846</v>
      </c>
      <c r="L35" s="5" t="s">
        <v>83</v>
      </c>
      <c r="M35" s="5">
        <f t="shared" si="0"/>
        <v>-1.8912827627227353E-2</v>
      </c>
      <c r="N35" s="5">
        <f t="shared" si="1"/>
        <v>5.8607250693402078E-2</v>
      </c>
      <c r="O35" s="5">
        <f t="shared" si="2"/>
        <v>-2.380222868941247E-2</v>
      </c>
      <c r="P35" s="5">
        <f t="shared" si="3"/>
        <v>-1.0124268368663942E-3</v>
      </c>
      <c r="Q35" s="5">
        <f t="shared" si="4"/>
        <v>8.4122693850411517E-3</v>
      </c>
      <c r="R35" s="5">
        <f t="shared" si="5"/>
        <v>5.5693020045934072E-2</v>
      </c>
      <c r="S35" s="5">
        <v>57310.58349888846</v>
      </c>
    </row>
    <row r="36" spans="1:19">
      <c r="A36" s="5" t="s">
        <v>36</v>
      </c>
      <c r="B36" s="5">
        <v>72.15894476679054</v>
      </c>
      <c r="C36" s="5">
        <v>103998.18668560409</v>
      </c>
      <c r="D36" s="5">
        <v>61.936203753819221</v>
      </c>
      <c r="E36" s="5">
        <v>1.0623404197659401</v>
      </c>
      <c r="F36" s="5">
        <v>84.407317073170745</v>
      </c>
      <c r="G36" s="5">
        <v>1.30500749907811</v>
      </c>
      <c r="H36" s="5">
        <v>104219.05649911672</v>
      </c>
      <c r="L36" s="5" t="s">
        <v>36</v>
      </c>
      <c r="M36" s="5">
        <f t="shared" si="0"/>
        <v>3.0929218777816788E-2</v>
      </c>
      <c r="N36" s="5">
        <f t="shared" si="1"/>
        <v>0.24617296537831648</v>
      </c>
      <c r="O36" s="5">
        <f t="shared" si="2"/>
        <v>5.7403411228452517E-3</v>
      </c>
      <c r="P36" s="5">
        <f t="shared" si="3"/>
        <v>-0.10713086337132766</v>
      </c>
      <c r="Q36" s="5">
        <f t="shared" si="4"/>
        <v>9.1471832868881275E-3</v>
      </c>
      <c r="R36" s="5">
        <f t="shared" si="5"/>
        <v>0.69967529127332651</v>
      </c>
      <c r="S36" s="5">
        <v>104219.05649911672</v>
      </c>
    </row>
    <row r="37" spans="1:19">
      <c r="A37" s="5" t="s">
        <v>81</v>
      </c>
      <c r="B37" s="5">
        <v>29.410213981324929</v>
      </c>
      <c r="C37" s="5">
        <v>5389.47314453125</v>
      </c>
      <c r="D37" s="5">
        <v>48.342797348726457</v>
      </c>
      <c r="E37" s="5">
        <v>6.5019846466925397</v>
      </c>
      <c r="F37" s="5">
        <v>74.691999999999993</v>
      </c>
      <c r="G37" s="5">
        <v>0.33702862573393999</v>
      </c>
      <c r="H37" s="5">
        <v>5548.757169133728</v>
      </c>
      <c r="L37" s="5" t="s">
        <v>81</v>
      </c>
      <c r="M37" s="5">
        <f t="shared" si="0"/>
        <v>-8.8441098736869311E-2</v>
      </c>
      <c r="N37" s="5">
        <f t="shared" si="1"/>
        <v>-0.14835216430360854</v>
      </c>
      <c r="O37" s="5">
        <f t="shared" si="2"/>
        <v>-3.3012534040329951E-2</v>
      </c>
      <c r="P37" s="5">
        <f t="shared" si="3"/>
        <v>0.21835788741050957</v>
      </c>
      <c r="Q37" s="5">
        <f t="shared" si="4"/>
        <v>-1.1614290804948095E-2</v>
      </c>
      <c r="R37" s="5">
        <f t="shared" si="5"/>
        <v>7.1017851016860215E-2</v>
      </c>
      <c r="S37" s="5">
        <v>5548.757169133728</v>
      </c>
    </row>
    <row r="38" spans="1:19">
      <c r="A38" s="5" t="s">
        <v>6</v>
      </c>
      <c r="B38" s="5">
        <v>30.984158840168845</v>
      </c>
      <c r="C38" s="5">
        <v>53246.367614510847</v>
      </c>
      <c r="D38" s="5">
        <v>31.856001686542957</v>
      </c>
      <c r="E38" s="5">
        <v>3.2715729463592012</v>
      </c>
      <c r="F38" s="5">
        <v>81.386853658536594</v>
      </c>
      <c r="G38" s="5">
        <v>1.0659564474212</v>
      </c>
      <c r="H38" s="5">
        <v>53394.932158089876</v>
      </c>
      <c r="L38" s="5" t="s">
        <v>6</v>
      </c>
      <c r="M38" s="5">
        <f t="shared" si="0"/>
        <v>-8.4046060706531214E-2</v>
      </c>
      <c r="N38" s="5">
        <f t="shared" si="1"/>
        <v>4.3119226194540783E-2</v>
      </c>
      <c r="O38" s="5">
        <f t="shared" si="2"/>
        <v>-8.0014051915791085E-2</v>
      </c>
      <c r="P38" s="5">
        <f t="shared" si="3"/>
        <v>2.5061667108505416E-2</v>
      </c>
      <c r="Q38" s="5">
        <f t="shared" si="4"/>
        <v>2.6925022449857151E-3</v>
      </c>
      <c r="R38" s="5">
        <f t="shared" si="5"/>
        <v>0.54442270636301915</v>
      </c>
      <c r="S38" s="5">
        <v>53394.932158089876</v>
      </c>
    </row>
    <row r="39" spans="1:19">
      <c r="A39" s="7" t="s">
        <v>98</v>
      </c>
      <c r="B39" s="5">
        <v>2260.056802802465</v>
      </c>
      <c r="C39" s="5">
        <v>1571354.0252252775</v>
      </c>
      <c r="D39" s="5">
        <v>2217.1382480851139</v>
      </c>
      <c r="E39" s="5">
        <v>105.55125037534634</v>
      </c>
      <c r="F39" s="5">
        <v>2964.695268292684</v>
      </c>
      <c r="G39" s="5">
        <v>8.4241039538788698</v>
      </c>
      <c r="H39" s="5">
        <v>1578909.890898787</v>
      </c>
      <c r="L39" s="7" t="s">
        <v>98</v>
      </c>
      <c r="M39" s="5">
        <v>2260.056802802465</v>
      </c>
      <c r="N39" s="5">
        <v>1571354.0252252775</v>
      </c>
      <c r="O39" s="5">
        <v>2217.1382480851139</v>
      </c>
      <c r="P39" s="5">
        <v>105.55125037534634</v>
      </c>
      <c r="Q39" s="5">
        <v>2964.695268292684</v>
      </c>
      <c r="R39" s="5">
        <v>8.4241039538788698</v>
      </c>
      <c r="S39" s="5">
        <v>1578909.890898787</v>
      </c>
    </row>
    <row r="41" spans="1:19">
      <c r="A41" s="5" t="s">
        <v>99</v>
      </c>
      <c r="B41" s="5">
        <f>AVERAGE(B2:B38)</f>
        <v>61.082616291958516</v>
      </c>
      <c r="C41" s="5">
        <f t="shared" ref="C41:H41" si="6">AVERAGE(C2:C38)</f>
        <v>42469.027708791284</v>
      </c>
      <c r="D41" s="5">
        <f t="shared" si="6"/>
        <v>59.922655353651727</v>
      </c>
      <c r="E41" s="5">
        <f t="shared" si="6"/>
        <v>2.8527364966309823</v>
      </c>
      <c r="F41" s="5">
        <f t="shared" si="6"/>
        <v>80.126899143045506</v>
      </c>
      <c r="G41" s="5">
        <f t="shared" si="6"/>
        <v>0.22767848523996945</v>
      </c>
      <c r="H41" s="5">
        <f t="shared" si="6"/>
        <v>42673.240294561809</v>
      </c>
    </row>
    <row r="42" spans="1:19">
      <c r="A42" s="5" t="s">
        <v>100</v>
      </c>
      <c r="B42" s="5">
        <f>_xlfn.STDEV.S(B2:B39)</f>
        <v>358.11859828726892</v>
      </c>
      <c r="C42" s="5">
        <f t="shared" ref="C42:H42" si="7">_xlfn.STDEV.S(C2:C39)</f>
        <v>249942.79482418112</v>
      </c>
      <c r="D42" s="5">
        <f t="shared" si="7"/>
        <v>350.77155818389076</v>
      </c>
      <c r="E42" s="5">
        <f t="shared" si="7"/>
        <v>16.712234182780058</v>
      </c>
      <c r="F42" s="5">
        <f t="shared" si="7"/>
        <v>467.94929060412841</v>
      </c>
      <c r="G42" s="5">
        <f t="shared" si="7"/>
        <v>1.5397556942128525</v>
      </c>
      <c r="H42" s="5">
        <f t="shared" si="7"/>
        <v>251130.131554174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42"/>
  <sheetViews>
    <sheetView zoomScale="56" workbookViewId="0">
      <selection activeCell="A4" sqref="A4:H42"/>
    </sheetView>
  </sheetViews>
  <sheetFormatPr defaultRowHeight="14.5"/>
  <cols>
    <col min="1" max="1" width="27.6328125" bestFit="1" customWidth="1"/>
    <col min="2" max="2" width="35.81640625" bestFit="1" customWidth="1"/>
    <col min="3" max="3" width="25.453125" bestFit="1" customWidth="1"/>
    <col min="4" max="4" width="36.08984375" bestFit="1" customWidth="1"/>
    <col min="5" max="5" width="32.81640625" bestFit="1" customWidth="1"/>
    <col min="6" max="6" width="32.1796875" bestFit="1" customWidth="1"/>
    <col min="7" max="7" width="26.54296875" bestFit="1" customWidth="1"/>
    <col min="8" max="8" width="12" bestFit="1" customWidth="1"/>
  </cols>
  <sheetData>
    <row r="3" spans="1:8">
      <c r="A3" s="2" t="s">
        <v>95</v>
      </c>
      <c r="B3" s="2" t="s">
        <v>96</v>
      </c>
    </row>
    <row r="4" spans="1:8">
      <c r="A4" s="2" t="s">
        <v>93</v>
      </c>
      <c r="B4" t="s">
        <v>44</v>
      </c>
      <c r="C4" t="s">
        <v>12</v>
      </c>
      <c r="D4" t="s">
        <v>33</v>
      </c>
      <c r="E4" t="s">
        <v>52</v>
      </c>
      <c r="F4" t="s">
        <v>75</v>
      </c>
      <c r="G4" t="s">
        <v>60</v>
      </c>
      <c r="H4" t="s">
        <v>94</v>
      </c>
    </row>
    <row r="5" spans="1:8">
      <c r="A5" s="3" t="s">
        <v>19</v>
      </c>
      <c r="B5" s="4">
        <v>36.284868535146515</v>
      </c>
      <c r="C5" s="4">
        <v>11377.775743109876</v>
      </c>
      <c r="D5" s="4">
        <v>43.169767540075846</v>
      </c>
      <c r="E5" s="4">
        <v>2.21587375089991</v>
      </c>
      <c r="F5" s="4">
        <v>79.775999999999996</v>
      </c>
      <c r="G5" s="4">
        <v>-1.54314393524594</v>
      </c>
      <c r="H5" s="4">
        <v>11537.679109000754</v>
      </c>
    </row>
    <row r="6" spans="1:8">
      <c r="A6" s="3" t="s">
        <v>85</v>
      </c>
      <c r="B6" s="4">
        <v>55.678285085164134</v>
      </c>
      <c r="C6" s="4">
        <v>58268.878765160116</v>
      </c>
      <c r="D6" s="4">
        <v>53.147492749240577</v>
      </c>
      <c r="E6" s="4">
        <v>2.9379157427937499</v>
      </c>
      <c r="F6" s="4">
        <v>81.995121951219517</v>
      </c>
      <c r="G6" s="4">
        <v>0.50487981379598601</v>
      </c>
      <c r="H6" s="4">
        <v>58463.142460502328</v>
      </c>
    </row>
    <row r="7" spans="1:8">
      <c r="A7" s="3" t="s">
        <v>65</v>
      </c>
      <c r="B7" s="4">
        <v>79.273086411473159</v>
      </c>
      <c r="C7" s="4">
        <v>56614.567949903583</v>
      </c>
      <c r="D7" s="4">
        <v>79.658739926593469</v>
      </c>
      <c r="E7" s="4">
        <v>3.1434913650004099</v>
      </c>
      <c r="F7" s="4">
        <v>82.300000000000011</v>
      </c>
      <c r="G7" s="4">
        <v>0.66555918543206005</v>
      </c>
      <c r="H7" s="4">
        <v>56859.608826792079</v>
      </c>
    </row>
    <row r="8" spans="1:8">
      <c r="A8" s="3" t="s">
        <v>53</v>
      </c>
      <c r="B8" s="4">
        <v>40.872841121631545</v>
      </c>
      <c r="C8" s="4">
        <v>9358.7876895113404</v>
      </c>
      <c r="D8" s="4">
        <v>54.283454589185595</v>
      </c>
      <c r="E8" s="4">
        <v>1.69212733599723</v>
      </c>
      <c r="F8" s="4">
        <v>78.043999999999997</v>
      </c>
      <c r="G8" s="4">
        <v>-0.65581999167383698</v>
      </c>
      <c r="H8" s="4">
        <v>9533.0242925664788</v>
      </c>
    </row>
    <row r="9" spans="1:8">
      <c r="A9" s="3" t="s">
        <v>78</v>
      </c>
      <c r="B9" s="4">
        <v>56.369962084093814</v>
      </c>
      <c r="C9" s="4">
        <v>17596.017366352113</v>
      </c>
      <c r="D9" s="4">
        <v>53.856352475116267</v>
      </c>
      <c r="E9" s="4">
        <v>2.4465194300607802</v>
      </c>
      <c r="F9" s="4">
        <v>75.760975609756102</v>
      </c>
      <c r="G9" s="4">
        <v>-8.0307160956148801E-2</v>
      </c>
      <c r="H9" s="4">
        <v>17784.370868790182</v>
      </c>
    </row>
    <row r="10" spans="1:8">
      <c r="A10" s="3" t="s">
        <v>51</v>
      </c>
      <c r="B10" s="4">
        <v>50.141089194988943</v>
      </c>
      <c r="C10" s="4">
        <v>24050.439793313548</v>
      </c>
      <c r="D10" s="4">
        <v>54.771236878264261</v>
      </c>
      <c r="E10" s="4">
        <v>2.9720047764361812</v>
      </c>
      <c r="F10" s="4">
        <v>78.929268292682934</v>
      </c>
      <c r="G10" s="4">
        <v>0.16862794878328499</v>
      </c>
      <c r="H10" s="4">
        <v>24237.422020404701</v>
      </c>
    </row>
    <row r="11" spans="1:8">
      <c r="A11" s="3" t="s">
        <v>34</v>
      </c>
      <c r="B11" s="4">
        <v>97.020235938456324</v>
      </c>
      <c r="C11" s="4">
        <v>38674.29296875</v>
      </c>
      <c r="D11" s="4">
        <v>93.382634982303372</v>
      </c>
      <c r="E11" s="4">
        <v>1.80023018624815</v>
      </c>
      <c r="F11" s="4">
        <v>81.820999999999998</v>
      </c>
      <c r="G11" s="4">
        <v>0.98444968711322101</v>
      </c>
      <c r="H11" s="4">
        <v>38949.301519544133</v>
      </c>
    </row>
    <row r="12" spans="1:8">
      <c r="A12" s="3" t="s">
        <v>7</v>
      </c>
      <c r="B12" s="4">
        <v>68.868151448324895</v>
      </c>
      <c r="C12" s="4">
        <v>31823.307829056383</v>
      </c>
      <c r="D12" s="4">
        <v>62.616829621627424</v>
      </c>
      <c r="E12" s="4">
        <v>2.4353120243531401</v>
      </c>
      <c r="F12" s="4">
        <v>79.978048780487811</v>
      </c>
      <c r="G12" s="4">
        <v>0.37655304915749399</v>
      </c>
      <c r="H12" s="4">
        <v>32037.582723980337</v>
      </c>
    </row>
    <row r="13" spans="1:8">
      <c r="A13" s="3" t="s">
        <v>72</v>
      </c>
      <c r="B13" s="4">
        <v>71.002013204304575</v>
      </c>
      <c r="C13" s="4">
        <v>71026.483227189703</v>
      </c>
      <c r="D13" s="4">
        <v>60.763017770902117</v>
      </c>
      <c r="E13" s="4">
        <v>1.3722004976892499</v>
      </c>
      <c r="F13" s="4">
        <v>82.253658536585377</v>
      </c>
      <c r="G13" s="4">
        <v>0.503861198167737</v>
      </c>
      <c r="H13" s="4">
        <v>71242.377978397359</v>
      </c>
    </row>
    <row r="14" spans="1:8">
      <c r="A14" s="3" t="s">
        <v>0</v>
      </c>
      <c r="B14" s="4">
        <v>75.669483321314246</v>
      </c>
      <c r="C14" s="4">
        <v>31428.354781610396</v>
      </c>
      <c r="D14" s="4">
        <v>75.368219089140908</v>
      </c>
      <c r="E14" s="4">
        <v>3.5194118998391999</v>
      </c>
      <c r="F14" s="4">
        <v>79.295121951219528</v>
      </c>
      <c r="G14" s="4">
        <v>0.14985635192642399</v>
      </c>
      <c r="H14" s="4">
        <v>31662.356874223839</v>
      </c>
    </row>
    <row r="15" spans="1:8">
      <c r="A15" s="3" t="s">
        <v>32</v>
      </c>
      <c r="B15" s="4">
        <v>41.907791986606902</v>
      </c>
      <c r="C15" s="4">
        <v>53149.767193405052</v>
      </c>
      <c r="D15" s="4">
        <v>41.552309548743857</v>
      </c>
      <c r="E15" s="4">
        <v>1.5656890623161499</v>
      </c>
      <c r="F15" s="4">
        <v>82.336585365853679</v>
      </c>
      <c r="G15" s="4">
        <v>0.64264005436334304</v>
      </c>
      <c r="H15" s="4">
        <v>53317.772209422939</v>
      </c>
    </row>
    <row r="16" spans="1:8">
      <c r="A16" s="3" t="s">
        <v>57</v>
      </c>
      <c r="B16" s="4">
        <v>33.889754234383176</v>
      </c>
      <c r="C16" s="4">
        <v>46103.084085588387</v>
      </c>
      <c r="D16" s="4">
        <v>34.218433309991205</v>
      </c>
      <c r="E16" s="4">
        <v>1.9990494229146201</v>
      </c>
      <c r="F16" s="4">
        <v>82.980487804878067</v>
      </c>
      <c r="G16" s="4">
        <v>0.26199524189874701</v>
      </c>
      <c r="H16" s="4">
        <v>46256.43380560245</v>
      </c>
    </row>
    <row r="17" spans="1:8">
      <c r="A17" s="3" t="s">
        <v>92</v>
      </c>
      <c r="B17" s="4">
        <v>41.434059372090822</v>
      </c>
      <c r="C17" s="4">
        <v>56103.732318255446</v>
      </c>
      <c r="D17" s="4">
        <v>37.656671217402753</v>
      </c>
      <c r="E17" s="4">
        <v>2.2564981433876001</v>
      </c>
      <c r="F17" s="4">
        <v>80.792682926829272</v>
      </c>
      <c r="G17" s="4">
        <v>0.27495782918488099</v>
      </c>
      <c r="H17" s="4">
        <v>56266.147187744347</v>
      </c>
    </row>
    <row r="18" spans="1:8">
      <c r="A18" s="3" t="s">
        <v>45</v>
      </c>
      <c r="B18" s="4">
        <v>42.111678322050224</v>
      </c>
      <c r="C18" s="4">
        <v>24626.148185897262</v>
      </c>
      <c r="D18" s="4">
        <v>47.664849622566621</v>
      </c>
      <c r="E18" s="4">
        <v>2.741018756794773</v>
      </c>
      <c r="F18" s="4">
        <v>81.839024390243921</v>
      </c>
      <c r="G18" s="4">
        <v>-2.1304519939699899E-2</v>
      </c>
      <c r="H18" s="4">
        <v>24800.48345246898</v>
      </c>
    </row>
    <row r="19" spans="1:8">
      <c r="A19" s="3" t="s">
        <v>61</v>
      </c>
      <c r="B19" s="4">
        <v>75.390890277712558</v>
      </c>
      <c r="C19" s="4">
        <v>23292.326388247828</v>
      </c>
      <c r="D19" s="4">
        <v>71.113671228188934</v>
      </c>
      <c r="E19" s="4">
        <v>3.7037037037036891</v>
      </c>
      <c r="F19" s="4">
        <v>76.724390243902462</v>
      </c>
      <c r="G19" s="4">
        <v>-0.31451007746408699</v>
      </c>
      <c r="H19" s="4">
        <v>23518.944533623871</v>
      </c>
    </row>
    <row r="20" spans="1:8">
      <c r="A20" s="3" t="s">
        <v>35</v>
      </c>
      <c r="B20" s="4">
        <v>42.451986287291319</v>
      </c>
      <c r="C20" s="4">
        <v>86040.530985128789</v>
      </c>
      <c r="D20" s="4">
        <v>43.515206980839018</v>
      </c>
      <c r="E20" s="4">
        <v>5.8568384997006557</v>
      </c>
      <c r="F20" s="4">
        <v>82.809756097560978</v>
      </c>
      <c r="G20" s="4">
        <v>0.21834607059254499</v>
      </c>
      <c r="H20" s="4">
        <v>86215.383119064776</v>
      </c>
    </row>
    <row r="21" spans="1:8">
      <c r="A21" s="3" t="s">
        <v>11</v>
      </c>
      <c r="B21" s="4">
        <v>143.98460166103095</v>
      </c>
      <c r="C21" s="4">
        <v>112894.95324080539</v>
      </c>
      <c r="D21" s="4">
        <v>102.18527319637008</v>
      </c>
      <c r="E21" s="4">
        <v>2.1134499957731672</v>
      </c>
      <c r="F21" s="4">
        <v>83.009756097560995</v>
      </c>
      <c r="G21" s="4">
        <v>1.57375843711631</v>
      </c>
      <c r="H21" s="4">
        <v>113227.82008019323</v>
      </c>
    </row>
    <row r="22" spans="1:8">
      <c r="A22" s="3" t="s">
        <v>15</v>
      </c>
      <c r="B22" s="4">
        <v>32.505041554007022</v>
      </c>
      <c r="C22" s="4">
        <v>40385.341395766904</v>
      </c>
      <c r="D22" s="4">
        <v>30.31872695794554</v>
      </c>
      <c r="E22" s="4">
        <v>0.98237302306141705</v>
      </c>
      <c r="F22" s="4">
        <v>83.951219512195138</v>
      </c>
      <c r="G22" s="4">
        <v>-5.3438737843772503E-2</v>
      </c>
      <c r="H22" s="4">
        <v>40533.045318076271</v>
      </c>
    </row>
    <row r="23" spans="1:8">
      <c r="A23" s="3" t="s">
        <v>58</v>
      </c>
      <c r="B23" s="4">
        <v>65.334130371427975</v>
      </c>
      <c r="C23" s="4">
        <v>23409.084515477498</v>
      </c>
      <c r="D23" s="4">
        <v>66.928377524497009</v>
      </c>
      <c r="E23" s="4">
        <v>1.265798858287287</v>
      </c>
      <c r="F23" s="4">
        <v>76.429268292682934</v>
      </c>
      <c r="G23" s="4">
        <v>-0.93796839712161995</v>
      </c>
      <c r="H23" s="4">
        <v>23618.104122127275</v>
      </c>
    </row>
    <row r="24" spans="1:8">
      <c r="A24" s="3" t="s">
        <v>37</v>
      </c>
      <c r="B24" s="4">
        <v>74.113980754518366</v>
      </c>
      <c r="C24" s="4">
        <v>29384.018959866335</v>
      </c>
      <c r="D24" s="4">
        <v>68.934410108861286</v>
      </c>
      <c r="E24" s="4">
        <v>0.71573583522872319</v>
      </c>
      <c r="F24" s="4">
        <v>77.195121951219519</v>
      </c>
      <c r="G24" s="4">
        <v>0.57963346478516098</v>
      </c>
      <c r="H24" s="4">
        <v>29605.557841980946</v>
      </c>
    </row>
    <row r="25" spans="1:8">
      <c r="A25" s="3" t="s">
        <v>56</v>
      </c>
      <c r="B25" s="4">
        <v>191.53297018761137</v>
      </c>
      <c r="C25" s="4">
        <v>137781.68165912307</v>
      </c>
      <c r="D25" s="4">
        <v>159.73495096558054</v>
      </c>
      <c r="E25" s="4">
        <v>2.051132699548591</v>
      </c>
      <c r="F25" s="4">
        <v>83.195121951219519</v>
      </c>
      <c r="G25" s="4">
        <v>1.57538901671221</v>
      </c>
      <c r="H25" s="4">
        <v>138219.77122394377</v>
      </c>
    </row>
    <row r="26" spans="1:8">
      <c r="A26" s="3" t="s">
        <v>48</v>
      </c>
      <c r="B26" s="4">
        <v>31.413547115249891</v>
      </c>
      <c r="C26" s="4">
        <v>7576.195894133255</v>
      </c>
      <c r="D26" s="4">
        <v>57.252568313433194</v>
      </c>
      <c r="E26" s="4">
        <v>4.6777351600705153</v>
      </c>
      <c r="F26" s="4">
        <v>71.331999999999994</v>
      </c>
      <c r="G26" s="4">
        <v>-2.2830614707263699</v>
      </c>
      <c r="H26" s="4">
        <v>7738.5886832512824</v>
      </c>
    </row>
    <row r="27" spans="1:8">
      <c r="A27" s="3" t="s">
        <v>54</v>
      </c>
      <c r="B27" s="4">
        <v>43.74708296343379</v>
      </c>
      <c r="C27" s="4">
        <v>13263.328127769921</v>
      </c>
      <c r="D27" s="4">
        <v>66.197021517541202</v>
      </c>
      <c r="E27" s="4">
        <v>3.3367500928228142</v>
      </c>
      <c r="F27" s="4">
        <v>77.890243902439039</v>
      </c>
      <c r="G27" s="4">
        <v>-6.4151191528509499E-4</v>
      </c>
      <c r="H27" s="4">
        <v>13454.498584734241</v>
      </c>
    </row>
    <row r="28" spans="1:8">
      <c r="A28" s="3" t="s">
        <v>89</v>
      </c>
      <c r="B28" s="4">
        <v>82.430360485327299</v>
      </c>
      <c r="C28" s="4">
        <v>67520.421895628111</v>
      </c>
      <c r="D28" s="4">
        <v>71.400291681032442</v>
      </c>
      <c r="E28" s="4">
        <v>3.34754304219953</v>
      </c>
      <c r="F28" s="4">
        <v>81.965853658536588</v>
      </c>
      <c r="G28" s="4">
        <v>0.64882328002165701</v>
      </c>
      <c r="H28" s="4">
        <v>67760.214767775222</v>
      </c>
    </row>
    <row r="29" spans="1:8">
      <c r="A29" s="3" t="s">
        <v>43</v>
      </c>
      <c r="B29" s="4">
        <v>61.679203747961672</v>
      </c>
      <c r="C29" s="4">
        <v>9291.85661671864</v>
      </c>
      <c r="D29" s="4">
        <v>74.645672427593908</v>
      </c>
      <c r="E29" s="4">
        <v>3.4897408602695368</v>
      </c>
      <c r="F29" s="4">
        <v>76.61658536585368</v>
      </c>
      <c r="G29" s="4">
        <v>-0.18931190495865199</v>
      </c>
      <c r="H29" s="4">
        <v>9508.0985072153599</v>
      </c>
    </row>
    <row r="30" spans="1:8">
      <c r="A30" s="3" t="s">
        <v>66</v>
      </c>
      <c r="B30" s="4">
        <v>47.491709011612585</v>
      </c>
      <c r="C30" s="4">
        <v>86785.433448917611</v>
      </c>
      <c r="D30" s="4">
        <v>33.87180017111168</v>
      </c>
      <c r="E30" s="4">
        <v>3.1453013443108051</v>
      </c>
      <c r="F30" s="4">
        <v>83.160975609756093</v>
      </c>
      <c r="G30" s="4">
        <v>0.94985513837235702</v>
      </c>
      <c r="H30" s="4">
        <v>86954.05309019277</v>
      </c>
    </row>
    <row r="31" spans="1:8">
      <c r="A31" s="3" t="s">
        <v>87</v>
      </c>
      <c r="B31" s="4">
        <v>52.179813391901099</v>
      </c>
      <c r="C31" s="4">
        <v>25103.56566142297</v>
      </c>
      <c r="D31" s="4">
        <v>48.179629455262884</v>
      </c>
      <c r="E31" s="4">
        <v>3.7906089763019661</v>
      </c>
      <c r="F31" s="4">
        <v>78.409756097560987</v>
      </c>
      <c r="G31" s="4">
        <v>-0.349832361234927</v>
      </c>
      <c r="H31" s="4">
        <v>25285.775636982758</v>
      </c>
    </row>
    <row r="32" spans="1:8">
      <c r="A32" s="3" t="s">
        <v>14</v>
      </c>
      <c r="B32" s="4">
        <v>45.771725043315008</v>
      </c>
      <c r="C32" s="4">
        <v>29292.242104753037</v>
      </c>
      <c r="D32" s="4">
        <v>43.924683810710995</v>
      </c>
      <c r="E32" s="4">
        <v>2.416131877918839</v>
      </c>
      <c r="F32" s="4">
        <v>82.3829268292683</v>
      </c>
      <c r="G32" s="4">
        <v>1.09536933248007</v>
      </c>
      <c r="H32" s="4">
        <v>29467.832941646731</v>
      </c>
    </row>
    <row r="33" spans="1:8">
      <c r="A33" s="3" t="s">
        <v>47</v>
      </c>
      <c r="B33" s="4">
        <v>35.603026699946504</v>
      </c>
      <c r="C33" s="4">
        <v>20080.209621559497</v>
      </c>
      <c r="D33" s="4">
        <v>41.61195709395377</v>
      </c>
      <c r="E33" s="4">
        <v>5.7214057435443859</v>
      </c>
      <c r="F33" s="4">
        <v>76.458536585365863</v>
      </c>
      <c r="G33" s="4">
        <v>-4.8582020476197703E-2</v>
      </c>
      <c r="H33" s="4">
        <v>20239.555965661835</v>
      </c>
    </row>
    <row r="34" spans="1:8">
      <c r="A34" s="3" t="s">
        <v>23</v>
      </c>
      <c r="B34" s="4">
        <v>53.583766709022605</v>
      </c>
      <c r="C34" s="4">
        <v>13679.206598355697</v>
      </c>
      <c r="D34" s="4">
        <v>58.14126167989366</v>
      </c>
      <c r="E34" s="4">
        <v>4.6705297488997006</v>
      </c>
      <c r="F34" s="4">
        <v>75.968292682926844</v>
      </c>
      <c r="G34" s="4">
        <v>-0.55576142398442496</v>
      </c>
      <c r="H34" s="4">
        <v>13871.014687752453</v>
      </c>
    </row>
    <row r="35" spans="1:8">
      <c r="A35" s="3" t="s">
        <v>20</v>
      </c>
      <c r="B35" s="4">
        <v>85.483498956127875</v>
      </c>
      <c r="C35" s="4">
        <v>25992.674850204778</v>
      </c>
      <c r="D35" s="4">
        <v>85.729301195506991</v>
      </c>
      <c r="E35" s="4">
        <v>2.7576090942427181</v>
      </c>
      <c r="F35" s="4">
        <v>78.370731707317091</v>
      </c>
      <c r="G35" s="4">
        <v>-8.6110840160076904E-2</v>
      </c>
      <c r="H35" s="4">
        <v>26244.929880317814</v>
      </c>
    </row>
    <row r="36" spans="1:8">
      <c r="A36" s="3" t="s">
        <v>55</v>
      </c>
      <c r="B36" s="4">
        <v>80.917389492035696</v>
      </c>
      <c r="C36" s="4">
        <v>34301.031868659353</v>
      </c>
      <c r="D36" s="4">
        <v>74.740539192438021</v>
      </c>
      <c r="E36" s="4">
        <v>1.9656265643251249</v>
      </c>
      <c r="F36" s="4">
        <v>82.285365853658547</v>
      </c>
      <c r="G36" s="4">
        <v>0.32670589607575401</v>
      </c>
      <c r="H36" s="4">
        <v>34541.267495657892</v>
      </c>
    </row>
    <row r="37" spans="1:8">
      <c r="A37" s="3" t="s">
        <v>64</v>
      </c>
      <c r="B37" s="4">
        <v>37.055879272170756</v>
      </c>
      <c r="C37" s="4">
        <v>35326.768306927806</v>
      </c>
      <c r="D37" s="4">
        <v>32.89438196609234</v>
      </c>
      <c r="E37" s="4">
        <v>2.7741782653477198</v>
      </c>
      <c r="F37" s="4">
        <v>83.887804878048797</v>
      </c>
      <c r="G37" s="4">
        <v>1.0212126093838101</v>
      </c>
      <c r="H37" s="4">
        <v>35484.401763918846</v>
      </c>
    </row>
    <row r="38" spans="1:8">
      <c r="A38" s="3" t="s">
        <v>83</v>
      </c>
      <c r="B38" s="4">
        <v>54.309580972447122</v>
      </c>
      <c r="C38" s="4">
        <v>57117.487744061626</v>
      </c>
      <c r="D38" s="4">
        <v>51.573510508017208</v>
      </c>
      <c r="E38" s="4">
        <v>2.8358165822403398</v>
      </c>
      <c r="F38" s="4">
        <v>84.063414634146341</v>
      </c>
      <c r="G38" s="4">
        <v>0.31343212998360698</v>
      </c>
      <c r="H38" s="4">
        <v>57310.58349888846</v>
      </c>
    </row>
    <row r="39" spans="1:8">
      <c r="A39" s="3" t="s">
        <v>36</v>
      </c>
      <c r="B39" s="4">
        <v>72.15894476679054</v>
      </c>
      <c r="C39" s="4">
        <v>103998.18668560409</v>
      </c>
      <c r="D39" s="4">
        <v>61.936203753819221</v>
      </c>
      <c r="E39" s="4">
        <v>1.0623404197659401</v>
      </c>
      <c r="F39" s="4">
        <v>84.407317073170745</v>
      </c>
      <c r="G39" s="4">
        <v>1.30500749907811</v>
      </c>
      <c r="H39" s="4">
        <v>104219.05649911672</v>
      </c>
    </row>
    <row r="40" spans="1:8">
      <c r="A40" s="3" t="s">
        <v>81</v>
      </c>
      <c r="B40" s="4">
        <v>29.410213981324929</v>
      </c>
      <c r="C40" s="4">
        <v>5389.47314453125</v>
      </c>
      <c r="D40" s="4">
        <v>48.342797348726457</v>
      </c>
      <c r="E40" s="4">
        <v>6.5019846466925397</v>
      </c>
      <c r="F40" s="4">
        <v>74.691999999999993</v>
      </c>
      <c r="G40" s="4">
        <v>0.33702862573393999</v>
      </c>
      <c r="H40" s="4">
        <v>5548.757169133728</v>
      </c>
    </row>
    <row r="41" spans="1:8">
      <c r="A41" s="3" t="s">
        <v>6</v>
      </c>
      <c r="B41" s="4">
        <v>30.984158840168845</v>
      </c>
      <c r="C41" s="4">
        <v>53246.367614510847</v>
      </c>
      <c r="D41" s="4">
        <v>31.856001686542957</v>
      </c>
      <c r="E41" s="4">
        <v>3.2715729463592012</v>
      </c>
      <c r="F41" s="4">
        <v>81.386853658536594</v>
      </c>
      <c r="G41" s="4">
        <v>1.0659564474212</v>
      </c>
      <c r="H41" s="4">
        <v>53394.932158089876</v>
      </c>
    </row>
    <row r="42" spans="1:8">
      <c r="A42" s="3" t="s">
        <v>94</v>
      </c>
      <c r="B42" s="4">
        <v>2260.056802802465</v>
      </c>
      <c r="C42" s="4">
        <v>1571354.0252252775</v>
      </c>
      <c r="D42" s="4">
        <v>2217.1382480851139</v>
      </c>
      <c r="E42" s="4">
        <v>105.55125037534634</v>
      </c>
      <c r="F42" s="4">
        <v>2964.695268292684</v>
      </c>
      <c r="G42" s="4">
        <v>8.4241039538788698</v>
      </c>
      <c r="H42" s="4">
        <v>1578909.890898787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8"/>
  <sheetViews>
    <sheetView zoomScale="52" workbookViewId="0">
      <selection activeCell="C242" sqref="C241:C242"/>
    </sheetView>
  </sheetViews>
  <sheetFormatPr defaultRowHeight="14.5"/>
  <cols>
    <col min="1" max="1" width="44" bestFit="1" customWidth="1"/>
    <col min="2" max="2" width="12.08984375" bestFit="1" customWidth="1"/>
    <col min="3" max="3" width="58" bestFit="1" customWidth="1"/>
    <col min="4" max="4" width="15.08984375" bestFit="1" customWidth="1"/>
    <col min="5" max="5" width="12.90625" bestFit="1" customWidth="1"/>
  </cols>
  <sheetData>
    <row r="1" spans="1:5">
      <c r="A1" t="s">
        <v>31</v>
      </c>
      <c r="B1" s="1" t="s">
        <v>2</v>
      </c>
      <c r="C1" t="s">
        <v>70</v>
      </c>
      <c r="D1" s="1" t="s">
        <v>27</v>
      </c>
      <c r="E1" t="s">
        <v>41</v>
      </c>
    </row>
    <row r="2" spans="1:5">
      <c r="A2" t="s">
        <v>19</v>
      </c>
      <c r="B2" s="1" t="s">
        <v>18</v>
      </c>
      <c r="C2" t="s">
        <v>12</v>
      </c>
      <c r="D2" s="1" t="s">
        <v>10</v>
      </c>
      <c r="E2">
        <v>11377.775743109876</v>
      </c>
    </row>
    <row r="3" spans="1:5">
      <c r="A3" t="s">
        <v>19</v>
      </c>
      <c r="B3" s="1" t="s">
        <v>18</v>
      </c>
      <c r="C3" t="s">
        <v>52</v>
      </c>
      <c r="D3" s="1" t="s">
        <v>62</v>
      </c>
      <c r="E3">
        <v>2.21587375089991</v>
      </c>
    </row>
    <row r="4" spans="1:5">
      <c r="A4" t="s">
        <v>19</v>
      </c>
      <c r="B4" s="1" t="s">
        <v>18</v>
      </c>
      <c r="C4" t="s">
        <v>44</v>
      </c>
      <c r="D4" s="1" t="s">
        <v>91</v>
      </c>
      <c r="E4">
        <v>36.284868535146515</v>
      </c>
    </row>
    <row r="5" spans="1:5">
      <c r="A5" t="s">
        <v>19</v>
      </c>
      <c r="B5" s="1" t="s">
        <v>18</v>
      </c>
      <c r="C5" t="s">
        <v>33</v>
      </c>
      <c r="D5" s="1" t="s">
        <v>5</v>
      </c>
      <c r="E5">
        <v>43.169767540075846</v>
      </c>
    </row>
    <row r="6" spans="1:5">
      <c r="A6" t="s">
        <v>19</v>
      </c>
      <c r="B6" s="1" t="s">
        <v>18</v>
      </c>
      <c r="C6" t="s">
        <v>75</v>
      </c>
      <c r="D6" s="1" t="s">
        <v>26</v>
      </c>
      <c r="E6">
        <v>79.775999999999996</v>
      </c>
    </row>
    <row r="7" spans="1:5">
      <c r="A7" t="s">
        <v>19</v>
      </c>
      <c r="B7" s="1" t="s">
        <v>18</v>
      </c>
      <c r="C7" t="s">
        <v>60</v>
      </c>
      <c r="D7" s="1" t="s">
        <v>46</v>
      </c>
      <c r="E7">
        <v>-1.54314393524594</v>
      </c>
    </row>
    <row r="8" spans="1:5">
      <c r="A8" t="s">
        <v>85</v>
      </c>
      <c r="B8" s="1" t="s">
        <v>74</v>
      </c>
      <c r="C8" t="s">
        <v>12</v>
      </c>
      <c r="D8" s="1" t="s">
        <v>10</v>
      </c>
      <c r="E8">
        <v>58268.878765160116</v>
      </c>
    </row>
    <row r="9" spans="1:5">
      <c r="A9" t="s">
        <v>85</v>
      </c>
      <c r="B9" s="1" t="s">
        <v>74</v>
      </c>
      <c r="C9" t="s">
        <v>52</v>
      </c>
      <c r="D9" s="1" t="s">
        <v>62</v>
      </c>
      <c r="E9">
        <v>2.9379157427937499</v>
      </c>
    </row>
    <row r="10" spans="1:5">
      <c r="A10" t="s">
        <v>85</v>
      </c>
      <c r="B10" s="1" t="s">
        <v>74</v>
      </c>
      <c r="C10" t="s">
        <v>44</v>
      </c>
      <c r="D10" s="1" t="s">
        <v>91</v>
      </c>
      <c r="E10">
        <v>55.678285085164134</v>
      </c>
    </row>
    <row r="11" spans="1:5">
      <c r="A11" t="s">
        <v>85</v>
      </c>
      <c r="B11" s="1" t="s">
        <v>74</v>
      </c>
      <c r="C11" t="s">
        <v>33</v>
      </c>
      <c r="D11" s="1" t="s">
        <v>5</v>
      </c>
      <c r="E11">
        <v>53.147492749240577</v>
      </c>
    </row>
    <row r="12" spans="1:5">
      <c r="A12" t="s">
        <v>85</v>
      </c>
      <c r="B12" s="1" t="s">
        <v>74</v>
      </c>
      <c r="C12" t="s">
        <v>75</v>
      </c>
      <c r="D12" s="1" t="s">
        <v>26</v>
      </c>
      <c r="E12">
        <v>81.995121951219517</v>
      </c>
    </row>
    <row r="13" spans="1:5">
      <c r="A13" t="s">
        <v>85</v>
      </c>
      <c r="B13" s="1" t="s">
        <v>74</v>
      </c>
      <c r="C13" t="s">
        <v>60</v>
      </c>
      <c r="D13" s="1" t="s">
        <v>46</v>
      </c>
      <c r="E13">
        <v>0.50487981379598601</v>
      </c>
    </row>
    <row r="14" spans="1:5">
      <c r="A14" t="s">
        <v>65</v>
      </c>
      <c r="B14" s="1" t="s">
        <v>9</v>
      </c>
      <c r="C14" t="s">
        <v>12</v>
      </c>
      <c r="D14" s="1" t="s">
        <v>10</v>
      </c>
      <c r="E14">
        <v>56614.567949903583</v>
      </c>
    </row>
    <row r="15" spans="1:5">
      <c r="A15" t="s">
        <v>65</v>
      </c>
      <c r="B15" s="1" t="s">
        <v>9</v>
      </c>
      <c r="C15" t="s">
        <v>52</v>
      </c>
      <c r="D15" s="1" t="s">
        <v>62</v>
      </c>
      <c r="E15">
        <v>3.1434913650004099</v>
      </c>
    </row>
    <row r="16" spans="1:5">
      <c r="A16" t="s">
        <v>65</v>
      </c>
      <c r="B16" s="1" t="s">
        <v>9</v>
      </c>
      <c r="C16" t="s">
        <v>44</v>
      </c>
      <c r="D16" s="1" t="s">
        <v>91</v>
      </c>
      <c r="E16">
        <v>79.273086411473159</v>
      </c>
    </row>
    <row r="17" spans="1:5">
      <c r="A17" t="s">
        <v>65</v>
      </c>
      <c r="B17" s="1" t="s">
        <v>9</v>
      </c>
      <c r="C17" t="s">
        <v>33</v>
      </c>
      <c r="D17" s="1" t="s">
        <v>5</v>
      </c>
      <c r="E17">
        <v>79.658739926593469</v>
      </c>
    </row>
    <row r="18" spans="1:5">
      <c r="A18" t="s">
        <v>65</v>
      </c>
      <c r="B18" s="1" t="s">
        <v>9</v>
      </c>
      <c r="C18" t="s">
        <v>75</v>
      </c>
      <c r="D18" s="1" t="s">
        <v>26</v>
      </c>
      <c r="E18">
        <v>82.300000000000011</v>
      </c>
    </row>
    <row r="19" spans="1:5">
      <c r="A19" t="s">
        <v>65</v>
      </c>
      <c r="B19" s="1" t="s">
        <v>9</v>
      </c>
      <c r="C19" t="s">
        <v>60</v>
      </c>
      <c r="D19" s="1" t="s">
        <v>46</v>
      </c>
      <c r="E19">
        <v>0.66555918543206005</v>
      </c>
    </row>
    <row r="20" spans="1:5">
      <c r="A20" t="s">
        <v>53</v>
      </c>
      <c r="B20" s="1" t="s">
        <v>79</v>
      </c>
      <c r="C20" t="s">
        <v>12</v>
      </c>
      <c r="D20" s="1" t="s">
        <v>10</v>
      </c>
      <c r="E20">
        <v>9358.7876895113404</v>
      </c>
    </row>
    <row r="21" spans="1:5">
      <c r="A21" t="s">
        <v>53</v>
      </c>
      <c r="B21" s="1" t="s">
        <v>79</v>
      </c>
      <c r="C21" t="s">
        <v>52</v>
      </c>
      <c r="D21" s="1" t="s">
        <v>62</v>
      </c>
      <c r="E21">
        <v>1.69212733599723</v>
      </c>
    </row>
    <row r="22" spans="1:5">
      <c r="A22" t="s">
        <v>53</v>
      </c>
      <c r="B22" s="1" t="s">
        <v>79</v>
      </c>
      <c r="C22" t="s">
        <v>44</v>
      </c>
      <c r="D22" s="1" t="s">
        <v>91</v>
      </c>
      <c r="E22">
        <v>40.872841121631545</v>
      </c>
    </row>
    <row r="23" spans="1:5">
      <c r="A23" t="s">
        <v>53</v>
      </c>
      <c r="B23" s="1" t="s">
        <v>79</v>
      </c>
      <c r="C23" t="s">
        <v>33</v>
      </c>
      <c r="D23" s="1" t="s">
        <v>5</v>
      </c>
      <c r="E23">
        <v>54.283454589185595</v>
      </c>
    </row>
    <row r="24" spans="1:5">
      <c r="A24" t="s">
        <v>53</v>
      </c>
      <c r="B24" s="1" t="s">
        <v>79</v>
      </c>
      <c r="C24" t="s">
        <v>75</v>
      </c>
      <c r="D24" s="1" t="s">
        <v>26</v>
      </c>
      <c r="E24">
        <v>78.043999999999997</v>
      </c>
    </row>
    <row r="25" spans="1:5">
      <c r="A25" t="s">
        <v>53</v>
      </c>
      <c r="B25" s="1" t="s">
        <v>79</v>
      </c>
      <c r="C25" t="s">
        <v>60</v>
      </c>
      <c r="D25" s="1" t="s">
        <v>46</v>
      </c>
      <c r="E25">
        <v>-0.65581999167383698</v>
      </c>
    </row>
    <row r="26" spans="1:5">
      <c r="A26" t="s">
        <v>78</v>
      </c>
      <c r="B26" s="1" t="s">
        <v>22</v>
      </c>
      <c r="C26" t="s">
        <v>12</v>
      </c>
      <c r="D26" s="1" t="s">
        <v>10</v>
      </c>
      <c r="E26">
        <v>17596.017366352113</v>
      </c>
    </row>
    <row r="27" spans="1:5">
      <c r="A27" t="s">
        <v>78</v>
      </c>
      <c r="B27" s="1" t="s">
        <v>22</v>
      </c>
      <c r="C27" t="s">
        <v>52</v>
      </c>
      <c r="D27" s="1" t="s">
        <v>62</v>
      </c>
      <c r="E27">
        <v>2.4465194300607802</v>
      </c>
    </row>
    <row r="28" spans="1:5">
      <c r="A28" t="s">
        <v>78</v>
      </c>
      <c r="B28" s="1" t="s">
        <v>22</v>
      </c>
      <c r="C28" t="s">
        <v>44</v>
      </c>
      <c r="D28" s="1" t="s">
        <v>91</v>
      </c>
      <c r="E28">
        <v>56.369962084093814</v>
      </c>
    </row>
    <row r="29" spans="1:5">
      <c r="A29" t="s">
        <v>78</v>
      </c>
      <c r="B29" s="1" t="s">
        <v>22</v>
      </c>
      <c r="C29" t="s">
        <v>33</v>
      </c>
      <c r="D29" s="1" t="s">
        <v>5</v>
      </c>
      <c r="E29">
        <v>53.856352475116267</v>
      </c>
    </row>
    <row r="30" spans="1:5">
      <c r="A30" t="s">
        <v>78</v>
      </c>
      <c r="B30" s="1" t="s">
        <v>22</v>
      </c>
      <c r="C30" t="s">
        <v>75</v>
      </c>
      <c r="D30" s="1" t="s">
        <v>26</v>
      </c>
      <c r="E30">
        <v>75.760975609756102</v>
      </c>
    </row>
    <row r="31" spans="1:5">
      <c r="A31" t="s">
        <v>78</v>
      </c>
      <c r="B31" s="1" t="s">
        <v>22</v>
      </c>
      <c r="C31" t="s">
        <v>60</v>
      </c>
      <c r="D31" s="1" t="s">
        <v>46</v>
      </c>
      <c r="E31">
        <v>-8.0307160956148801E-2</v>
      </c>
    </row>
    <row r="32" spans="1:5">
      <c r="A32" t="s">
        <v>51</v>
      </c>
      <c r="B32" s="1" t="s">
        <v>84</v>
      </c>
      <c r="C32" t="s">
        <v>12</v>
      </c>
      <c r="D32" s="1" t="s">
        <v>10</v>
      </c>
      <c r="E32">
        <v>24050.439793313548</v>
      </c>
    </row>
    <row r="33" spans="1:5">
      <c r="A33" t="s">
        <v>51</v>
      </c>
      <c r="B33" s="1" t="s">
        <v>84</v>
      </c>
      <c r="C33" t="s">
        <v>52</v>
      </c>
      <c r="D33" s="1" t="s">
        <v>62</v>
      </c>
      <c r="E33">
        <v>2.9720047764361812</v>
      </c>
    </row>
    <row r="34" spans="1:5">
      <c r="A34" t="s">
        <v>51</v>
      </c>
      <c r="B34" s="1" t="s">
        <v>84</v>
      </c>
      <c r="C34" t="s">
        <v>44</v>
      </c>
      <c r="D34" s="1" t="s">
        <v>91</v>
      </c>
      <c r="E34">
        <v>50.141089194988943</v>
      </c>
    </row>
    <row r="35" spans="1:5">
      <c r="A35" t="s">
        <v>51</v>
      </c>
      <c r="B35" s="1" t="s">
        <v>84</v>
      </c>
      <c r="C35" t="s">
        <v>33</v>
      </c>
      <c r="D35" s="1" t="s">
        <v>5</v>
      </c>
      <c r="E35">
        <v>54.771236878264261</v>
      </c>
    </row>
    <row r="36" spans="1:5">
      <c r="A36" t="s">
        <v>51</v>
      </c>
      <c r="B36" s="1" t="s">
        <v>84</v>
      </c>
      <c r="C36" t="s">
        <v>75</v>
      </c>
      <c r="D36" s="1" t="s">
        <v>26</v>
      </c>
      <c r="E36">
        <v>78.929268292682934</v>
      </c>
    </row>
    <row r="37" spans="1:5">
      <c r="A37" t="s">
        <v>51</v>
      </c>
      <c r="B37" s="1" t="s">
        <v>84</v>
      </c>
      <c r="C37" t="s">
        <v>60</v>
      </c>
      <c r="D37" s="1" t="s">
        <v>46</v>
      </c>
      <c r="E37">
        <v>0.16862794878328499</v>
      </c>
    </row>
    <row r="38" spans="1:5">
      <c r="A38" t="s">
        <v>34</v>
      </c>
      <c r="B38" s="1" t="s">
        <v>88</v>
      </c>
      <c r="C38" t="s">
        <v>12</v>
      </c>
      <c r="D38" s="1" t="s">
        <v>10</v>
      </c>
      <c r="E38">
        <v>38674.29296875</v>
      </c>
    </row>
    <row r="39" spans="1:5">
      <c r="A39" t="s">
        <v>34</v>
      </c>
      <c r="B39" s="1" t="s">
        <v>88</v>
      </c>
      <c r="C39" t="s">
        <v>52</v>
      </c>
      <c r="D39" s="1" t="s">
        <v>62</v>
      </c>
      <c r="E39">
        <v>1.80023018624815</v>
      </c>
    </row>
    <row r="40" spans="1:5">
      <c r="A40" t="s">
        <v>34</v>
      </c>
      <c r="B40" s="1" t="s">
        <v>88</v>
      </c>
      <c r="C40" t="s">
        <v>44</v>
      </c>
      <c r="D40" s="1" t="s">
        <v>91</v>
      </c>
      <c r="E40">
        <v>97.020235938456324</v>
      </c>
    </row>
    <row r="41" spans="1:5">
      <c r="A41" t="s">
        <v>34</v>
      </c>
      <c r="B41" s="1" t="s">
        <v>88</v>
      </c>
      <c r="C41" t="s">
        <v>33</v>
      </c>
      <c r="D41" s="1" t="s">
        <v>5</v>
      </c>
      <c r="E41">
        <v>93.382634982303372</v>
      </c>
    </row>
    <row r="42" spans="1:5">
      <c r="A42" t="s">
        <v>34</v>
      </c>
      <c r="B42" s="1" t="s">
        <v>88</v>
      </c>
      <c r="C42" t="s">
        <v>75</v>
      </c>
      <c r="D42" s="1" t="s">
        <v>26</v>
      </c>
      <c r="E42">
        <v>81.820999999999998</v>
      </c>
    </row>
    <row r="43" spans="1:5">
      <c r="A43" t="s">
        <v>34</v>
      </c>
      <c r="B43" s="1" t="s">
        <v>88</v>
      </c>
      <c r="C43" t="s">
        <v>60</v>
      </c>
      <c r="D43" s="1" t="s">
        <v>46</v>
      </c>
      <c r="E43">
        <v>0.98444968711322101</v>
      </c>
    </row>
    <row r="44" spans="1:5">
      <c r="A44" t="s">
        <v>7</v>
      </c>
      <c r="B44" s="1" t="s">
        <v>21</v>
      </c>
      <c r="C44" t="s">
        <v>12</v>
      </c>
      <c r="D44" s="1" t="s">
        <v>10</v>
      </c>
      <c r="E44">
        <v>31823.307829056383</v>
      </c>
    </row>
    <row r="45" spans="1:5">
      <c r="A45" t="s">
        <v>7</v>
      </c>
      <c r="B45" s="1" t="s">
        <v>21</v>
      </c>
      <c r="C45" t="s">
        <v>52</v>
      </c>
      <c r="D45" s="1" t="s">
        <v>62</v>
      </c>
      <c r="E45">
        <v>2.4353120243531401</v>
      </c>
    </row>
    <row r="46" spans="1:5">
      <c r="A46" t="s">
        <v>7</v>
      </c>
      <c r="B46" s="1" t="s">
        <v>21</v>
      </c>
      <c r="C46" t="s">
        <v>44</v>
      </c>
      <c r="D46" s="1" t="s">
        <v>91</v>
      </c>
      <c r="E46">
        <v>68.868151448324895</v>
      </c>
    </row>
    <row r="47" spans="1:5">
      <c r="A47" t="s">
        <v>7</v>
      </c>
      <c r="B47" s="1" t="s">
        <v>21</v>
      </c>
      <c r="C47" t="s">
        <v>33</v>
      </c>
      <c r="D47" s="1" t="s">
        <v>5</v>
      </c>
      <c r="E47">
        <v>62.616829621627424</v>
      </c>
    </row>
    <row r="48" spans="1:5">
      <c r="A48" t="s">
        <v>7</v>
      </c>
      <c r="B48" s="1" t="s">
        <v>21</v>
      </c>
      <c r="C48" t="s">
        <v>75</v>
      </c>
      <c r="D48" s="1" t="s">
        <v>26</v>
      </c>
      <c r="E48">
        <v>79.978048780487811</v>
      </c>
    </row>
    <row r="49" spans="1:5">
      <c r="A49" t="s">
        <v>7</v>
      </c>
      <c r="B49" s="1" t="s">
        <v>21</v>
      </c>
      <c r="C49" t="s">
        <v>60</v>
      </c>
      <c r="D49" s="1" t="s">
        <v>46</v>
      </c>
      <c r="E49">
        <v>0.37655304915749399</v>
      </c>
    </row>
    <row r="50" spans="1:5">
      <c r="A50" t="s">
        <v>72</v>
      </c>
      <c r="B50" s="1" t="s">
        <v>73</v>
      </c>
      <c r="C50" t="s">
        <v>12</v>
      </c>
      <c r="D50" s="1" t="s">
        <v>10</v>
      </c>
      <c r="E50">
        <v>71026.483227189703</v>
      </c>
    </row>
    <row r="51" spans="1:5">
      <c r="A51" t="s">
        <v>72</v>
      </c>
      <c r="B51" s="1" t="s">
        <v>73</v>
      </c>
      <c r="C51" t="s">
        <v>52</v>
      </c>
      <c r="D51" s="1" t="s">
        <v>62</v>
      </c>
      <c r="E51">
        <v>1.3722004976892499</v>
      </c>
    </row>
    <row r="52" spans="1:5">
      <c r="A52" t="s">
        <v>72</v>
      </c>
      <c r="B52" s="1" t="s">
        <v>73</v>
      </c>
      <c r="C52" t="s">
        <v>44</v>
      </c>
      <c r="D52" s="1" t="s">
        <v>91</v>
      </c>
      <c r="E52">
        <v>71.002013204304575</v>
      </c>
    </row>
    <row r="53" spans="1:5">
      <c r="A53" t="s">
        <v>72</v>
      </c>
      <c r="B53" s="1" t="s">
        <v>73</v>
      </c>
      <c r="C53" t="s">
        <v>33</v>
      </c>
      <c r="D53" s="1" t="s">
        <v>5</v>
      </c>
      <c r="E53">
        <v>60.763017770902117</v>
      </c>
    </row>
    <row r="54" spans="1:5">
      <c r="A54" t="s">
        <v>72</v>
      </c>
      <c r="B54" s="1" t="s">
        <v>73</v>
      </c>
      <c r="C54" t="s">
        <v>75</v>
      </c>
      <c r="D54" s="1" t="s">
        <v>26</v>
      </c>
      <c r="E54">
        <v>82.253658536585377</v>
      </c>
    </row>
    <row r="55" spans="1:5">
      <c r="A55" t="s">
        <v>72</v>
      </c>
      <c r="B55" s="1" t="s">
        <v>73</v>
      </c>
      <c r="C55" t="s">
        <v>60</v>
      </c>
      <c r="D55" s="1" t="s">
        <v>46</v>
      </c>
      <c r="E55">
        <v>0.503861198167737</v>
      </c>
    </row>
    <row r="56" spans="1:5">
      <c r="A56" t="s">
        <v>0</v>
      </c>
      <c r="B56" s="1" t="s">
        <v>80</v>
      </c>
      <c r="C56" t="s">
        <v>12</v>
      </c>
      <c r="D56" s="1" t="s">
        <v>10</v>
      </c>
      <c r="E56">
        <v>31428.354781610396</v>
      </c>
    </row>
    <row r="57" spans="1:5">
      <c r="A57" t="s">
        <v>0</v>
      </c>
      <c r="B57" s="1" t="s">
        <v>80</v>
      </c>
      <c r="C57" t="s">
        <v>52</v>
      </c>
      <c r="D57" s="1" t="s">
        <v>62</v>
      </c>
      <c r="E57">
        <v>3.5194118998391999</v>
      </c>
    </row>
    <row r="58" spans="1:5">
      <c r="A58" t="s">
        <v>0</v>
      </c>
      <c r="B58" s="1" t="s">
        <v>80</v>
      </c>
      <c r="C58" t="s">
        <v>44</v>
      </c>
      <c r="D58" s="1" t="s">
        <v>91</v>
      </c>
      <c r="E58">
        <v>75.669483321314246</v>
      </c>
    </row>
    <row r="59" spans="1:5">
      <c r="A59" t="s">
        <v>0</v>
      </c>
      <c r="B59" s="1" t="s">
        <v>80</v>
      </c>
      <c r="C59" t="s">
        <v>33</v>
      </c>
      <c r="D59" s="1" t="s">
        <v>5</v>
      </c>
      <c r="E59">
        <v>75.368219089140908</v>
      </c>
    </row>
    <row r="60" spans="1:5">
      <c r="A60" t="s">
        <v>0</v>
      </c>
      <c r="B60" s="1" t="s">
        <v>80</v>
      </c>
      <c r="C60" t="s">
        <v>75</v>
      </c>
      <c r="D60" s="1" t="s">
        <v>26</v>
      </c>
      <c r="E60">
        <v>79.295121951219528</v>
      </c>
    </row>
    <row r="61" spans="1:5">
      <c r="A61" t="s">
        <v>0</v>
      </c>
      <c r="B61" s="1" t="s">
        <v>80</v>
      </c>
      <c r="C61" t="s">
        <v>60</v>
      </c>
      <c r="D61" s="1" t="s">
        <v>46</v>
      </c>
      <c r="E61">
        <v>0.14985635192642399</v>
      </c>
    </row>
    <row r="62" spans="1:5">
      <c r="A62" t="s">
        <v>32</v>
      </c>
      <c r="B62" s="1" t="s">
        <v>8</v>
      </c>
      <c r="C62" t="s">
        <v>12</v>
      </c>
      <c r="D62" s="1" t="s">
        <v>10</v>
      </c>
      <c r="E62">
        <v>53149.767193405052</v>
      </c>
    </row>
    <row r="63" spans="1:5">
      <c r="A63" t="s">
        <v>32</v>
      </c>
      <c r="B63" s="1" t="s">
        <v>8</v>
      </c>
      <c r="C63" t="s">
        <v>52</v>
      </c>
      <c r="D63" s="1" t="s">
        <v>62</v>
      </c>
      <c r="E63">
        <v>1.5656890623161499</v>
      </c>
    </row>
    <row r="64" spans="1:5">
      <c r="A64" t="s">
        <v>32</v>
      </c>
      <c r="B64" s="1" t="s">
        <v>8</v>
      </c>
      <c r="C64" t="s">
        <v>44</v>
      </c>
      <c r="D64" s="1" t="s">
        <v>91</v>
      </c>
      <c r="E64">
        <v>41.907791986606902</v>
      </c>
    </row>
    <row r="65" spans="1:5">
      <c r="A65" t="s">
        <v>32</v>
      </c>
      <c r="B65" s="1" t="s">
        <v>8</v>
      </c>
      <c r="C65" t="s">
        <v>33</v>
      </c>
      <c r="D65" s="1" t="s">
        <v>5</v>
      </c>
      <c r="E65">
        <v>41.552309548743857</v>
      </c>
    </row>
    <row r="66" spans="1:5">
      <c r="A66" t="s">
        <v>32</v>
      </c>
      <c r="B66" s="1" t="s">
        <v>8</v>
      </c>
      <c r="C66" t="s">
        <v>75</v>
      </c>
      <c r="D66" s="1" t="s">
        <v>26</v>
      </c>
      <c r="E66">
        <v>82.336585365853679</v>
      </c>
    </row>
    <row r="67" spans="1:5">
      <c r="A67" t="s">
        <v>32</v>
      </c>
      <c r="B67" s="1" t="s">
        <v>8</v>
      </c>
      <c r="C67" t="s">
        <v>60</v>
      </c>
      <c r="D67" s="1" t="s">
        <v>46</v>
      </c>
      <c r="E67">
        <v>0.64264005436334304</v>
      </c>
    </row>
    <row r="68" spans="1:5">
      <c r="A68" t="s">
        <v>57</v>
      </c>
      <c r="B68" s="1" t="s">
        <v>38</v>
      </c>
      <c r="C68" t="s">
        <v>12</v>
      </c>
      <c r="D68" s="1" t="s">
        <v>10</v>
      </c>
      <c r="E68">
        <v>46103.084085588387</v>
      </c>
    </row>
    <row r="69" spans="1:5">
      <c r="A69" t="s">
        <v>57</v>
      </c>
      <c r="B69" s="1" t="s">
        <v>38</v>
      </c>
      <c r="C69" t="s">
        <v>52</v>
      </c>
      <c r="D69" s="1" t="s">
        <v>62</v>
      </c>
      <c r="E69">
        <v>1.9990494229146201</v>
      </c>
    </row>
    <row r="70" spans="1:5">
      <c r="A70" t="s">
        <v>57</v>
      </c>
      <c r="B70" s="1" t="s">
        <v>38</v>
      </c>
      <c r="C70" t="s">
        <v>44</v>
      </c>
      <c r="D70" s="1" t="s">
        <v>91</v>
      </c>
      <c r="E70">
        <v>33.889754234383176</v>
      </c>
    </row>
    <row r="71" spans="1:5">
      <c r="A71" t="s">
        <v>57</v>
      </c>
      <c r="B71" s="1" t="s">
        <v>38</v>
      </c>
      <c r="C71" t="s">
        <v>33</v>
      </c>
      <c r="D71" s="1" t="s">
        <v>5</v>
      </c>
      <c r="E71">
        <v>34.218433309991205</v>
      </c>
    </row>
    <row r="72" spans="1:5">
      <c r="A72" t="s">
        <v>57</v>
      </c>
      <c r="B72" s="1" t="s">
        <v>38</v>
      </c>
      <c r="C72" t="s">
        <v>75</v>
      </c>
      <c r="D72" s="1" t="s">
        <v>26</v>
      </c>
      <c r="E72">
        <v>82.980487804878067</v>
      </c>
    </row>
    <row r="73" spans="1:5">
      <c r="A73" t="s">
        <v>57</v>
      </c>
      <c r="B73" s="1" t="s">
        <v>38</v>
      </c>
      <c r="C73" t="s">
        <v>60</v>
      </c>
      <c r="D73" s="1" t="s">
        <v>46</v>
      </c>
      <c r="E73">
        <v>0.26199524189874701</v>
      </c>
    </row>
    <row r="74" spans="1:5">
      <c r="A74" t="s">
        <v>92</v>
      </c>
      <c r="B74" s="1" t="s">
        <v>71</v>
      </c>
      <c r="C74" t="s">
        <v>12</v>
      </c>
      <c r="D74" s="1" t="s">
        <v>10</v>
      </c>
      <c r="E74">
        <v>56103.732318255446</v>
      </c>
    </row>
    <row r="75" spans="1:5">
      <c r="A75" t="s">
        <v>92</v>
      </c>
      <c r="B75" s="1" t="s">
        <v>71</v>
      </c>
      <c r="C75" t="s">
        <v>52</v>
      </c>
      <c r="D75" s="1" t="s">
        <v>62</v>
      </c>
      <c r="E75">
        <v>2.2564981433876001</v>
      </c>
    </row>
    <row r="76" spans="1:5">
      <c r="A76" t="s">
        <v>92</v>
      </c>
      <c r="B76" s="1" t="s">
        <v>71</v>
      </c>
      <c r="C76" t="s">
        <v>44</v>
      </c>
      <c r="D76" s="1" t="s">
        <v>91</v>
      </c>
      <c r="E76">
        <v>41.434059372090822</v>
      </c>
    </row>
    <row r="77" spans="1:5">
      <c r="A77" t="s">
        <v>92</v>
      </c>
      <c r="B77" s="1" t="s">
        <v>71</v>
      </c>
      <c r="C77" t="s">
        <v>33</v>
      </c>
      <c r="D77" s="1" t="s">
        <v>5</v>
      </c>
      <c r="E77">
        <v>37.656671217402753</v>
      </c>
    </row>
    <row r="78" spans="1:5">
      <c r="A78" t="s">
        <v>92</v>
      </c>
      <c r="B78" s="1" t="s">
        <v>71</v>
      </c>
      <c r="C78" t="s">
        <v>75</v>
      </c>
      <c r="D78" s="1" t="s">
        <v>26</v>
      </c>
      <c r="E78">
        <v>80.792682926829272</v>
      </c>
    </row>
    <row r="79" spans="1:5">
      <c r="A79" t="s">
        <v>92</v>
      </c>
      <c r="B79" s="1" t="s">
        <v>71</v>
      </c>
      <c r="C79" t="s">
        <v>60</v>
      </c>
      <c r="D79" s="1" t="s">
        <v>46</v>
      </c>
      <c r="E79">
        <v>0.27495782918488099</v>
      </c>
    </row>
    <row r="80" spans="1:5">
      <c r="A80" t="s">
        <v>45</v>
      </c>
      <c r="B80" s="1" t="s">
        <v>40</v>
      </c>
      <c r="C80" t="s">
        <v>12</v>
      </c>
      <c r="D80" s="1" t="s">
        <v>10</v>
      </c>
      <c r="E80">
        <v>24626.148185897262</v>
      </c>
    </row>
    <row r="81" spans="1:5">
      <c r="A81" t="s">
        <v>45</v>
      </c>
      <c r="B81" s="1" t="s">
        <v>40</v>
      </c>
      <c r="C81" t="s">
        <v>52</v>
      </c>
      <c r="D81" s="1" t="s">
        <v>62</v>
      </c>
      <c r="E81">
        <v>2.741018756794773</v>
      </c>
    </row>
    <row r="82" spans="1:5">
      <c r="A82" t="s">
        <v>45</v>
      </c>
      <c r="B82" s="1" t="s">
        <v>40</v>
      </c>
      <c r="C82" t="s">
        <v>44</v>
      </c>
      <c r="D82" s="1" t="s">
        <v>91</v>
      </c>
      <c r="E82">
        <v>42.111678322050224</v>
      </c>
    </row>
    <row r="83" spans="1:5">
      <c r="A83" t="s">
        <v>45</v>
      </c>
      <c r="B83" s="1" t="s">
        <v>40</v>
      </c>
      <c r="C83" t="s">
        <v>33</v>
      </c>
      <c r="D83" s="1" t="s">
        <v>5</v>
      </c>
      <c r="E83">
        <v>47.664849622566621</v>
      </c>
    </row>
    <row r="84" spans="1:5">
      <c r="A84" t="s">
        <v>45</v>
      </c>
      <c r="B84" s="1" t="s">
        <v>40</v>
      </c>
      <c r="C84" t="s">
        <v>75</v>
      </c>
      <c r="D84" s="1" t="s">
        <v>26</v>
      </c>
      <c r="E84">
        <v>81.839024390243921</v>
      </c>
    </row>
    <row r="85" spans="1:5">
      <c r="A85" t="s">
        <v>45</v>
      </c>
      <c r="B85" s="1" t="s">
        <v>40</v>
      </c>
      <c r="C85" t="s">
        <v>60</v>
      </c>
      <c r="D85" s="1" t="s">
        <v>46</v>
      </c>
      <c r="E85">
        <v>-2.1304519939699899E-2</v>
      </c>
    </row>
    <row r="86" spans="1:5">
      <c r="A86" t="s">
        <v>61</v>
      </c>
      <c r="B86" s="1" t="s">
        <v>69</v>
      </c>
      <c r="C86" t="s">
        <v>12</v>
      </c>
      <c r="D86" s="1" t="s">
        <v>10</v>
      </c>
      <c r="E86">
        <v>23292.326388247828</v>
      </c>
    </row>
    <row r="87" spans="1:5">
      <c r="A87" t="s">
        <v>61</v>
      </c>
      <c r="B87" s="1" t="s">
        <v>69</v>
      </c>
      <c r="C87" t="s">
        <v>52</v>
      </c>
      <c r="D87" s="1" t="s">
        <v>62</v>
      </c>
      <c r="E87">
        <v>3.7037037037036891</v>
      </c>
    </row>
    <row r="88" spans="1:5">
      <c r="A88" t="s">
        <v>61</v>
      </c>
      <c r="B88" s="1" t="s">
        <v>69</v>
      </c>
      <c r="C88" t="s">
        <v>44</v>
      </c>
      <c r="D88" s="1" t="s">
        <v>91</v>
      </c>
      <c r="E88">
        <v>75.390890277712558</v>
      </c>
    </row>
    <row r="89" spans="1:5">
      <c r="A89" t="s">
        <v>61</v>
      </c>
      <c r="B89" s="1" t="s">
        <v>69</v>
      </c>
      <c r="C89" t="s">
        <v>33</v>
      </c>
      <c r="D89" s="1" t="s">
        <v>5</v>
      </c>
      <c r="E89">
        <v>71.113671228188934</v>
      </c>
    </row>
    <row r="90" spans="1:5">
      <c r="A90" t="s">
        <v>61</v>
      </c>
      <c r="B90" s="1" t="s">
        <v>69</v>
      </c>
      <c r="C90" t="s">
        <v>75</v>
      </c>
      <c r="D90" s="1" t="s">
        <v>26</v>
      </c>
      <c r="E90">
        <v>76.724390243902462</v>
      </c>
    </row>
    <row r="91" spans="1:5">
      <c r="A91" t="s">
        <v>61</v>
      </c>
      <c r="B91" s="1" t="s">
        <v>69</v>
      </c>
      <c r="C91" t="s">
        <v>60</v>
      </c>
      <c r="D91" s="1" t="s">
        <v>46</v>
      </c>
      <c r="E91">
        <v>-0.31451007746408699</v>
      </c>
    </row>
    <row r="92" spans="1:5">
      <c r="A92" t="s">
        <v>35</v>
      </c>
      <c r="B92" s="1" t="s">
        <v>30</v>
      </c>
      <c r="C92" t="s">
        <v>12</v>
      </c>
      <c r="D92" s="1" t="s">
        <v>10</v>
      </c>
      <c r="E92">
        <v>86040.530985128789</v>
      </c>
    </row>
    <row r="93" spans="1:5">
      <c r="A93" t="s">
        <v>35</v>
      </c>
      <c r="B93" s="1" t="s">
        <v>30</v>
      </c>
      <c r="C93" t="s">
        <v>52</v>
      </c>
      <c r="D93" s="1" t="s">
        <v>62</v>
      </c>
      <c r="E93">
        <v>5.8568384997006557</v>
      </c>
    </row>
    <row r="94" spans="1:5">
      <c r="A94" t="s">
        <v>35</v>
      </c>
      <c r="B94" s="1" t="s">
        <v>30</v>
      </c>
      <c r="C94" t="s">
        <v>44</v>
      </c>
      <c r="D94" s="1" t="s">
        <v>91</v>
      </c>
      <c r="E94">
        <v>42.451986287291319</v>
      </c>
    </row>
    <row r="95" spans="1:5">
      <c r="A95" t="s">
        <v>35</v>
      </c>
      <c r="B95" s="1" t="s">
        <v>30</v>
      </c>
      <c r="C95" t="s">
        <v>33</v>
      </c>
      <c r="D95" s="1" t="s">
        <v>5</v>
      </c>
      <c r="E95">
        <v>43.515206980839018</v>
      </c>
    </row>
    <row r="96" spans="1:5">
      <c r="A96" t="s">
        <v>35</v>
      </c>
      <c r="B96" s="1" t="s">
        <v>30</v>
      </c>
      <c r="C96" t="s">
        <v>75</v>
      </c>
      <c r="D96" s="1" t="s">
        <v>26</v>
      </c>
      <c r="E96">
        <v>82.809756097560978</v>
      </c>
    </row>
    <row r="97" spans="1:5">
      <c r="A97" t="s">
        <v>35</v>
      </c>
      <c r="B97" s="1" t="s">
        <v>30</v>
      </c>
      <c r="C97" t="s">
        <v>60</v>
      </c>
      <c r="D97" s="1" t="s">
        <v>46</v>
      </c>
      <c r="E97">
        <v>0.21834607059254499</v>
      </c>
    </row>
    <row r="98" spans="1:5">
      <c r="A98" t="s">
        <v>11</v>
      </c>
      <c r="B98" s="1" t="s">
        <v>3</v>
      </c>
      <c r="C98" t="s">
        <v>12</v>
      </c>
      <c r="D98" s="1" t="s">
        <v>10</v>
      </c>
      <c r="E98">
        <v>112894.95324080539</v>
      </c>
    </row>
    <row r="99" spans="1:5">
      <c r="A99" t="s">
        <v>11</v>
      </c>
      <c r="B99" s="1" t="s">
        <v>3</v>
      </c>
      <c r="C99" t="s">
        <v>52</v>
      </c>
      <c r="D99" s="1" t="s">
        <v>62</v>
      </c>
      <c r="E99">
        <v>2.1134499957731672</v>
      </c>
    </row>
    <row r="100" spans="1:5">
      <c r="A100" t="s">
        <v>11</v>
      </c>
      <c r="B100" s="1" t="s">
        <v>3</v>
      </c>
      <c r="C100" t="s">
        <v>44</v>
      </c>
      <c r="D100" s="1" t="s">
        <v>91</v>
      </c>
      <c r="E100">
        <v>143.98460166103095</v>
      </c>
    </row>
    <row r="101" spans="1:5">
      <c r="A101" t="s">
        <v>11</v>
      </c>
      <c r="B101" s="1" t="s">
        <v>3</v>
      </c>
      <c r="C101" t="s">
        <v>33</v>
      </c>
      <c r="D101" s="1" t="s">
        <v>5</v>
      </c>
      <c r="E101">
        <v>102.18527319637008</v>
      </c>
    </row>
    <row r="102" spans="1:5">
      <c r="A102" t="s">
        <v>11</v>
      </c>
      <c r="B102" s="1" t="s">
        <v>3</v>
      </c>
      <c r="C102" t="s">
        <v>75</v>
      </c>
      <c r="D102" s="1" t="s">
        <v>26</v>
      </c>
      <c r="E102">
        <v>83.009756097560995</v>
      </c>
    </row>
    <row r="103" spans="1:5">
      <c r="A103" t="s">
        <v>11</v>
      </c>
      <c r="B103" s="1" t="s">
        <v>3</v>
      </c>
      <c r="C103" t="s">
        <v>60</v>
      </c>
      <c r="D103" s="1" t="s">
        <v>46</v>
      </c>
      <c r="E103">
        <v>1.57375843711631</v>
      </c>
    </row>
    <row r="104" spans="1:5">
      <c r="A104" t="s">
        <v>15</v>
      </c>
      <c r="B104" s="1" t="s">
        <v>68</v>
      </c>
      <c r="C104" t="s">
        <v>12</v>
      </c>
      <c r="D104" s="1" t="s">
        <v>10</v>
      </c>
      <c r="E104">
        <v>40385.341395766904</v>
      </c>
    </row>
    <row r="105" spans="1:5">
      <c r="A105" t="s">
        <v>15</v>
      </c>
      <c r="B105" s="1" t="s">
        <v>68</v>
      </c>
      <c r="C105" t="s">
        <v>52</v>
      </c>
      <c r="D105" s="1" t="s">
        <v>62</v>
      </c>
      <c r="E105">
        <v>0.98237302306141705</v>
      </c>
    </row>
    <row r="106" spans="1:5">
      <c r="A106" t="s">
        <v>15</v>
      </c>
      <c r="B106" s="1" t="s">
        <v>68</v>
      </c>
      <c r="C106" t="s">
        <v>44</v>
      </c>
      <c r="D106" s="1" t="s">
        <v>91</v>
      </c>
      <c r="E106">
        <v>32.505041554007022</v>
      </c>
    </row>
    <row r="107" spans="1:5">
      <c r="A107" t="s">
        <v>15</v>
      </c>
      <c r="B107" s="1" t="s">
        <v>68</v>
      </c>
      <c r="C107" t="s">
        <v>33</v>
      </c>
      <c r="D107" s="1" t="s">
        <v>5</v>
      </c>
      <c r="E107">
        <v>30.31872695794554</v>
      </c>
    </row>
    <row r="108" spans="1:5">
      <c r="A108" t="s">
        <v>15</v>
      </c>
      <c r="B108" s="1" t="s">
        <v>68</v>
      </c>
      <c r="C108" t="s">
        <v>75</v>
      </c>
      <c r="D108" s="1" t="s">
        <v>26</v>
      </c>
      <c r="E108">
        <v>83.951219512195138</v>
      </c>
    </row>
    <row r="109" spans="1:5">
      <c r="A109" t="s">
        <v>15</v>
      </c>
      <c r="B109" s="1" t="s">
        <v>68</v>
      </c>
      <c r="C109" t="s">
        <v>60</v>
      </c>
      <c r="D109" s="1" t="s">
        <v>46</v>
      </c>
      <c r="E109">
        <v>-5.3438737843772503E-2</v>
      </c>
    </row>
    <row r="110" spans="1:5">
      <c r="A110" t="s">
        <v>58</v>
      </c>
      <c r="B110" s="1" t="s">
        <v>86</v>
      </c>
      <c r="C110" t="s">
        <v>12</v>
      </c>
      <c r="D110" s="1" t="s">
        <v>10</v>
      </c>
      <c r="E110">
        <v>23409.084515477498</v>
      </c>
    </row>
    <row r="111" spans="1:5">
      <c r="A111" t="s">
        <v>58</v>
      </c>
      <c r="B111" s="1" t="s">
        <v>86</v>
      </c>
      <c r="C111" t="s">
        <v>52</v>
      </c>
      <c r="D111" s="1" t="s">
        <v>62</v>
      </c>
      <c r="E111">
        <v>1.265798858287287</v>
      </c>
    </row>
    <row r="112" spans="1:5">
      <c r="A112" t="s">
        <v>58</v>
      </c>
      <c r="B112" s="1" t="s">
        <v>86</v>
      </c>
      <c r="C112" t="s">
        <v>44</v>
      </c>
      <c r="D112" s="1" t="s">
        <v>91</v>
      </c>
      <c r="E112">
        <v>65.334130371427975</v>
      </c>
    </row>
    <row r="113" spans="1:5">
      <c r="A113" t="s">
        <v>58</v>
      </c>
      <c r="B113" s="1" t="s">
        <v>86</v>
      </c>
      <c r="C113" t="s">
        <v>33</v>
      </c>
      <c r="D113" s="1" t="s">
        <v>5</v>
      </c>
      <c r="E113">
        <v>66.928377524497009</v>
      </c>
    </row>
    <row r="114" spans="1:5">
      <c r="A114" t="s">
        <v>58</v>
      </c>
      <c r="B114" s="1" t="s">
        <v>86</v>
      </c>
      <c r="C114" t="s">
        <v>75</v>
      </c>
      <c r="D114" s="1" t="s">
        <v>26</v>
      </c>
      <c r="E114">
        <v>76.429268292682934</v>
      </c>
    </row>
    <row r="115" spans="1:5">
      <c r="A115" t="s">
        <v>58</v>
      </c>
      <c r="B115" s="1" t="s">
        <v>86</v>
      </c>
      <c r="C115" t="s">
        <v>60</v>
      </c>
      <c r="D115" s="1" t="s">
        <v>46</v>
      </c>
      <c r="E115">
        <v>-0.93796839712161995</v>
      </c>
    </row>
    <row r="116" spans="1:5">
      <c r="A116" t="s">
        <v>37</v>
      </c>
      <c r="B116" s="1" t="s">
        <v>50</v>
      </c>
      <c r="C116" t="s">
        <v>12</v>
      </c>
      <c r="D116" s="1" t="s">
        <v>10</v>
      </c>
      <c r="E116">
        <v>29384.018959866335</v>
      </c>
    </row>
    <row r="117" spans="1:5">
      <c r="A117" t="s">
        <v>37</v>
      </c>
      <c r="B117" s="1" t="s">
        <v>50</v>
      </c>
      <c r="C117" t="s">
        <v>52</v>
      </c>
      <c r="D117" s="1" t="s">
        <v>62</v>
      </c>
      <c r="E117">
        <v>0.71573583522872319</v>
      </c>
    </row>
    <row r="118" spans="1:5">
      <c r="A118" t="s">
        <v>37</v>
      </c>
      <c r="B118" s="1" t="s">
        <v>50</v>
      </c>
      <c r="C118" t="s">
        <v>44</v>
      </c>
      <c r="D118" s="1" t="s">
        <v>91</v>
      </c>
      <c r="E118">
        <v>74.113980754518366</v>
      </c>
    </row>
    <row r="119" spans="1:5">
      <c r="A119" t="s">
        <v>37</v>
      </c>
      <c r="B119" s="1" t="s">
        <v>50</v>
      </c>
      <c r="C119" t="s">
        <v>33</v>
      </c>
      <c r="D119" s="1" t="s">
        <v>5</v>
      </c>
      <c r="E119">
        <v>68.934410108861286</v>
      </c>
    </row>
    <row r="120" spans="1:5">
      <c r="A120" t="s">
        <v>37</v>
      </c>
      <c r="B120" s="1" t="s">
        <v>50</v>
      </c>
      <c r="C120" t="s">
        <v>75</v>
      </c>
      <c r="D120" s="1" t="s">
        <v>26</v>
      </c>
      <c r="E120">
        <v>77.195121951219519</v>
      </c>
    </row>
    <row r="121" spans="1:5">
      <c r="A121" t="s">
        <v>37</v>
      </c>
      <c r="B121" s="1" t="s">
        <v>50</v>
      </c>
      <c r="C121" t="s">
        <v>60</v>
      </c>
      <c r="D121" s="1" t="s">
        <v>46</v>
      </c>
      <c r="E121">
        <v>0.57963346478516098</v>
      </c>
    </row>
    <row r="122" spans="1:5">
      <c r="A122" t="s">
        <v>56</v>
      </c>
      <c r="B122" s="1" t="s">
        <v>63</v>
      </c>
      <c r="C122" t="s">
        <v>12</v>
      </c>
      <c r="D122" s="1" t="s">
        <v>10</v>
      </c>
      <c r="E122">
        <v>137781.68165912307</v>
      </c>
    </row>
    <row r="123" spans="1:5">
      <c r="A123" t="s">
        <v>56</v>
      </c>
      <c r="B123" s="1" t="s">
        <v>63</v>
      </c>
      <c r="C123" t="s">
        <v>52</v>
      </c>
      <c r="D123" s="1" t="s">
        <v>62</v>
      </c>
      <c r="E123">
        <v>2.051132699548591</v>
      </c>
    </row>
    <row r="124" spans="1:5">
      <c r="A124" t="s">
        <v>56</v>
      </c>
      <c r="B124" s="1" t="s">
        <v>63</v>
      </c>
      <c r="C124" t="s">
        <v>44</v>
      </c>
      <c r="D124" s="1" t="s">
        <v>91</v>
      </c>
      <c r="E124">
        <v>191.53297018761137</v>
      </c>
    </row>
    <row r="125" spans="1:5">
      <c r="A125" t="s">
        <v>56</v>
      </c>
      <c r="B125" s="1" t="s">
        <v>63</v>
      </c>
      <c r="C125" t="s">
        <v>33</v>
      </c>
      <c r="D125" s="1" t="s">
        <v>5</v>
      </c>
      <c r="E125">
        <v>159.73495096558054</v>
      </c>
    </row>
    <row r="126" spans="1:5">
      <c r="A126" t="s">
        <v>56</v>
      </c>
      <c r="B126" s="1" t="s">
        <v>63</v>
      </c>
      <c r="C126" t="s">
        <v>75</v>
      </c>
      <c r="D126" s="1" t="s">
        <v>26</v>
      </c>
      <c r="E126">
        <v>83.195121951219519</v>
      </c>
    </row>
    <row r="127" spans="1:5">
      <c r="A127" t="s">
        <v>56</v>
      </c>
      <c r="B127" s="1" t="s">
        <v>63</v>
      </c>
      <c r="C127" t="s">
        <v>60</v>
      </c>
      <c r="D127" s="1" t="s">
        <v>46</v>
      </c>
      <c r="E127">
        <v>1.57538901671221</v>
      </c>
    </row>
    <row r="128" spans="1:5">
      <c r="A128" t="s">
        <v>48</v>
      </c>
      <c r="B128" s="1" t="s">
        <v>77</v>
      </c>
      <c r="C128" t="s">
        <v>12</v>
      </c>
      <c r="D128" s="1" t="s">
        <v>10</v>
      </c>
      <c r="E128">
        <v>7576.195894133255</v>
      </c>
    </row>
    <row r="129" spans="1:5">
      <c r="A129" t="s">
        <v>48</v>
      </c>
      <c r="B129" s="1" t="s">
        <v>77</v>
      </c>
      <c r="C129" t="s">
        <v>52</v>
      </c>
      <c r="D129" s="1" t="s">
        <v>62</v>
      </c>
      <c r="E129">
        <v>4.6777351600705153</v>
      </c>
    </row>
    <row r="130" spans="1:5">
      <c r="A130" t="s">
        <v>48</v>
      </c>
      <c r="B130" s="1" t="s">
        <v>77</v>
      </c>
      <c r="C130" t="s">
        <v>44</v>
      </c>
      <c r="D130" s="1" t="s">
        <v>91</v>
      </c>
      <c r="E130">
        <v>31.413547115249891</v>
      </c>
    </row>
    <row r="131" spans="1:5">
      <c r="A131" t="s">
        <v>48</v>
      </c>
      <c r="B131" s="1" t="s">
        <v>77</v>
      </c>
      <c r="C131" t="s">
        <v>33</v>
      </c>
      <c r="D131" s="1" t="s">
        <v>5</v>
      </c>
      <c r="E131">
        <v>57.252568313433194</v>
      </c>
    </row>
    <row r="132" spans="1:5">
      <c r="A132" t="s">
        <v>48</v>
      </c>
      <c r="B132" s="1" t="s">
        <v>77</v>
      </c>
      <c r="C132" t="s">
        <v>75</v>
      </c>
      <c r="D132" s="1" t="s">
        <v>26</v>
      </c>
      <c r="E132">
        <v>71.331999999999994</v>
      </c>
    </row>
    <row r="133" spans="1:5">
      <c r="A133" t="s">
        <v>48</v>
      </c>
      <c r="B133" s="1" t="s">
        <v>77</v>
      </c>
      <c r="C133" t="s">
        <v>60</v>
      </c>
      <c r="D133" s="1" t="s">
        <v>46</v>
      </c>
      <c r="E133">
        <v>-2.2830614707263699</v>
      </c>
    </row>
    <row r="134" spans="1:5">
      <c r="A134" t="s">
        <v>54</v>
      </c>
      <c r="B134" s="1" t="s">
        <v>1</v>
      </c>
      <c r="C134" t="s">
        <v>12</v>
      </c>
      <c r="D134" s="1" t="s">
        <v>10</v>
      </c>
      <c r="E134">
        <v>13263.328127769921</v>
      </c>
    </row>
    <row r="135" spans="1:5">
      <c r="A135" t="s">
        <v>54</v>
      </c>
      <c r="B135" s="1" t="s">
        <v>1</v>
      </c>
      <c r="C135" t="s">
        <v>52</v>
      </c>
      <c r="D135" s="1" t="s">
        <v>62</v>
      </c>
      <c r="E135">
        <v>3.3367500928228142</v>
      </c>
    </row>
    <row r="136" spans="1:5">
      <c r="A136" t="s">
        <v>54</v>
      </c>
      <c r="B136" s="1" t="s">
        <v>1</v>
      </c>
      <c r="C136" t="s">
        <v>44</v>
      </c>
      <c r="D136" s="1" t="s">
        <v>91</v>
      </c>
      <c r="E136">
        <v>43.74708296343379</v>
      </c>
    </row>
    <row r="137" spans="1:5">
      <c r="A137" t="s">
        <v>54</v>
      </c>
      <c r="B137" s="1" t="s">
        <v>1</v>
      </c>
      <c r="C137" t="s">
        <v>33</v>
      </c>
      <c r="D137" s="1" t="s">
        <v>5</v>
      </c>
      <c r="E137">
        <v>66.197021517541202</v>
      </c>
    </row>
    <row r="138" spans="1:5">
      <c r="A138" t="s">
        <v>54</v>
      </c>
      <c r="B138" s="1" t="s">
        <v>1</v>
      </c>
      <c r="C138" t="s">
        <v>75</v>
      </c>
      <c r="D138" s="1" t="s">
        <v>26</v>
      </c>
      <c r="E138">
        <v>77.890243902439039</v>
      </c>
    </row>
    <row r="139" spans="1:5">
      <c r="A139" t="s">
        <v>54</v>
      </c>
      <c r="B139" s="1" t="s">
        <v>1</v>
      </c>
      <c r="C139" t="s">
        <v>60</v>
      </c>
      <c r="D139" s="1" t="s">
        <v>46</v>
      </c>
      <c r="E139">
        <v>-6.4151191528509499E-4</v>
      </c>
    </row>
    <row r="140" spans="1:5">
      <c r="A140" t="s">
        <v>89</v>
      </c>
      <c r="B140" s="1" t="s">
        <v>59</v>
      </c>
      <c r="C140" t="s">
        <v>12</v>
      </c>
      <c r="D140" s="1" t="s">
        <v>10</v>
      </c>
      <c r="E140">
        <v>67520.421895628111</v>
      </c>
    </row>
    <row r="141" spans="1:5">
      <c r="A141" t="s">
        <v>89</v>
      </c>
      <c r="B141" s="1" t="s">
        <v>59</v>
      </c>
      <c r="C141" t="s">
        <v>52</v>
      </c>
      <c r="D141" s="1" t="s">
        <v>62</v>
      </c>
      <c r="E141">
        <v>3.34754304219953</v>
      </c>
    </row>
    <row r="142" spans="1:5">
      <c r="A142" t="s">
        <v>89</v>
      </c>
      <c r="B142" s="1" t="s">
        <v>59</v>
      </c>
      <c r="C142" t="s">
        <v>44</v>
      </c>
      <c r="D142" s="1" t="s">
        <v>91</v>
      </c>
      <c r="E142">
        <v>82.430360485327299</v>
      </c>
    </row>
    <row r="143" spans="1:5">
      <c r="A143" t="s">
        <v>89</v>
      </c>
      <c r="B143" s="1" t="s">
        <v>59</v>
      </c>
      <c r="C143" t="s">
        <v>33</v>
      </c>
      <c r="D143" s="1" t="s">
        <v>5</v>
      </c>
      <c r="E143">
        <v>71.400291681032442</v>
      </c>
    </row>
    <row r="144" spans="1:5">
      <c r="A144" t="s">
        <v>89</v>
      </c>
      <c r="B144" s="1" t="s">
        <v>59</v>
      </c>
      <c r="C144" t="s">
        <v>75</v>
      </c>
      <c r="D144" s="1" t="s">
        <v>26</v>
      </c>
      <c r="E144">
        <v>81.965853658536588</v>
      </c>
    </row>
    <row r="145" spans="1:5">
      <c r="A145" t="s">
        <v>89</v>
      </c>
      <c r="B145" s="1" t="s">
        <v>59</v>
      </c>
      <c r="C145" t="s">
        <v>60</v>
      </c>
      <c r="D145" s="1" t="s">
        <v>46</v>
      </c>
      <c r="E145">
        <v>0.64882328002165701</v>
      </c>
    </row>
    <row r="146" spans="1:5">
      <c r="A146" t="s">
        <v>43</v>
      </c>
      <c r="B146" s="1" t="s">
        <v>4</v>
      </c>
      <c r="C146" t="s">
        <v>12</v>
      </c>
      <c r="D146" s="1" t="s">
        <v>10</v>
      </c>
      <c r="E146">
        <v>9291.85661671864</v>
      </c>
    </row>
    <row r="147" spans="1:5">
      <c r="A147" t="s">
        <v>43</v>
      </c>
      <c r="B147" s="1" t="s">
        <v>4</v>
      </c>
      <c r="C147" t="s">
        <v>52</v>
      </c>
      <c r="D147" s="1" t="s">
        <v>62</v>
      </c>
      <c r="E147">
        <v>3.4897408602695368</v>
      </c>
    </row>
    <row r="148" spans="1:5">
      <c r="A148" t="s">
        <v>43</v>
      </c>
      <c r="B148" s="1" t="s">
        <v>4</v>
      </c>
      <c r="C148" t="s">
        <v>44</v>
      </c>
      <c r="D148" s="1" t="s">
        <v>91</v>
      </c>
      <c r="E148">
        <v>61.679203747961672</v>
      </c>
    </row>
    <row r="149" spans="1:5">
      <c r="A149" t="s">
        <v>43</v>
      </c>
      <c r="B149" s="1" t="s">
        <v>4</v>
      </c>
      <c r="C149" t="s">
        <v>33</v>
      </c>
      <c r="D149" s="1" t="s">
        <v>5</v>
      </c>
      <c r="E149">
        <v>74.645672427593908</v>
      </c>
    </row>
    <row r="150" spans="1:5">
      <c r="A150" t="s">
        <v>43</v>
      </c>
      <c r="B150" s="1" t="s">
        <v>4</v>
      </c>
      <c r="C150" t="s">
        <v>75</v>
      </c>
      <c r="D150" s="1" t="s">
        <v>26</v>
      </c>
      <c r="E150">
        <v>76.61658536585368</v>
      </c>
    </row>
    <row r="151" spans="1:5">
      <c r="A151" t="s">
        <v>43</v>
      </c>
      <c r="B151" s="1" t="s">
        <v>4</v>
      </c>
      <c r="C151" t="s">
        <v>60</v>
      </c>
      <c r="D151" s="1" t="s">
        <v>46</v>
      </c>
      <c r="E151">
        <v>-0.18931190495865199</v>
      </c>
    </row>
    <row r="152" spans="1:5">
      <c r="A152" t="s">
        <v>66</v>
      </c>
      <c r="B152" s="1" t="s">
        <v>39</v>
      </c>
      <c r="C152" t="s">
        <v>12</v>
      </c>
      <c r="D152" s="1" t="s">
        <v>10</v>
      </c>
      <c r="E152">
        <v>86785.433448917611</v>
      </c>
    </row>
    <row r="153" spans="1:5">
      <c r="A153" t="s">
        <v>66</v>
      </c>
      <c r="B153" s="1" t="s">
        <v>39</v>
      </c>
      <c r="C153" t="s">
        <v>52</v>
      </c>
      <c r="D153" s="1" t="s">
        <v>62</v>
      </c>
      <c r="E153">
        <v>3.1453013443108051</v>
      </c>
    </row>
    <row r="154" spans="1:5">
      <c r="A154" t="s">
        <v>66</v>
      </c>
      <c r="B154" s="1" t="s">
        <v>39</v>
      </c>
      <c r="C154" t="s">
        <v>44</v>
      </c>
      <c r="D154" s="1" t="s">
        <v>91</v>
      </c>
      <c r="E154">
        <v>47.491709011612585</v>
      </c>
    </row>
    <row r="155" spans="1:5">
      <c r="A155" t="s">
        <v>66</v>
      </c>
      <c r="B155" s="1" t="s">
        <v>39</v>
      </c>
      <c r="C155" t="s">
        <v>33</v>
      </c>
      <c r="D155" s="1" t="s">
        <v>5</v>
      </c>
      <c r="E155">
        <v>33.87180017111168</v>
      </c>
    </row>
    <row r="156" spans="1:5">
      <c r="A156" t="s">
        <v>66</v>
      </c>
      <c r="B156" s="1" t="s">
        <v>39</v>
      </c>
      <c r="C156" t="s">
        <v>75</v>
      </c>
      <c r="D156" s="1" t="s">
        <v>26</v>
      </c>
      <c r="E156">
        <v>83.160975609756093</v>
      </c>
    </row>
    <row r="157" spans="1:5">
      <c r="A157" t="s">
        <v>66</v>
      </c>
      <c r="B157" s="1" t="s">
        <v>39</v>
      </c>
      <c r="C157" t="s">
        <v>60</v>
      </c>
      <c r="D157" s="1" t="s">
        <v>46</v>
      </c>
      <c r="E157">
        <v>0.94985513837235702</v>
      </c>
    </row>
    <row r="158" spans="1:5">
      <c r="A158" t="s">
        <v>87</v>
      </c>
      <c r="B158" s="1" t="s">
        <v>25</v>
      </c>
      <c r="C158" t="s">
        <v>12</v>
      </c>
      <c r="D158" s="1" t="s">
        <v>10</v>
      </c>
      <c r="E158">
        <v>25103.56566142297</v>
      </c>
    </row>
    <row r="159" spans="1:5">
      <c r="A159" t="s">
        <v>87</v>
      </c>
      <c r="B159" s="1" t="s">
        <v>25</v>
      </c>
      <c r="C159" t="s">
        <v>52</v>
      </c>
      <c r="D159" s="1" t="s">
        <v>62</v>
      </c>
      <c r="E159">
        <v>3.7906089763019661</v>
      </c>
    </row>
    <row r="160" spans="1:5">
      <c r="A160" t="s">
        <v>87</v>
      </c>
      <c r="B160" s="1" t="s">
        <v>25</v>
      </c>
      <c r="C160" t="s">
        <v>44</v>
      </c>
      <c r="D160" s="1" t="s">
        <v>91</v>
      </c>
      <c r="E160">
        <v>52.179813391901099</v>
      </c>
    </row>
    <row r="161" spans="1:5">
      <c r="A161" t="s">
        <v>87</v>
      </c>
      <c r="B161" s="1" t="s">
        <v>25</v>
      </c>
      <c r="C161" t="s">
        <v>33</v>
      </c>
      <c r="D161" s="1" t="s">
        <v>5</v>
      </c>
      <c r="E161">
        <v>48.179629455262884</v>
      </c>
    </row>
    <row r="162" spans="1:5">
      <c r="A162" t="s">
        <v>87</v>
      </c>
      <c r="B162" s="1" t="s">
        <v>25</v>
      </c>
      <c r="C162" t="s">
        <v>75</v>
      </c>
      <c r="D162" s="1" t="s">
        <v>26</v>
      </c>
      <c r="E162">
        <v>78.409756097560987</v>
      </c>
    </row>
    <row r="163" spans="1:5">
      <c r="A163" t="s">
        <v>87</v>
      </c>
      <c r="B163" s="1" t="s">
        <v>25</v>
      </c>
      <c r="C163" t="s">
        <v>60</v>
      </c>
      <c r="D163" s="1" t="s">
        <v>46</v>
      </c>
      <c r="E163">
        <v>-0.349832361234927</v>
      </c>
    </row>
    <row r="164" spans="1:5">
      <c r="A164" t="s">
        <v>14</v>
      </c>
      <c r="B164" s="1" t="s">
        <v>67</v>
      </c>
      <c r="C164" t="s">
        <v>12</v>
      </c>
      <c r="D164" s="1" t="s">
        <v>10</v>
      </c>
      <c r="E164">
        <v>29292.242104753037</v>
      </c>
    </row>
    <row r="165" spans="1:5">
      <c r="A165" t="s">
        <v>14</v>
      </c>
      <c r="B165" s="1" t="s">
        <v>67</v>
      </c>
      <c r="C165" t="s">
        <v>52</v>
      </c>
      <c r="D165" s="1" t="s">
        <v>62</v>
      </c>
      <c r="E165">
        <v>2.416131877918839</v>
      </c>
    </row>
    <row r="166" spans="1:5">
      <c r="A166" t="s">
        <v>14</v>
      </c>
      <c r="B166" s="1" t="s">
        <v>67</v>
      </c>
      <c r="C166" t="s">
        <v>44</v>
      </c>
      <c r="D166" s="1" t="s">
        <v>91</v>
      </c>
      <c r="E166">
        <v>45.771725043315008</v>
      </c>
    </row>
    <row r="167" spans="1:5">
      <c r="A167" t="s">
        <v>14</v>
      </c>
      <c r="B167" s="1" t="s">
        <v>67</v>
      </c>
      <c r="C167" t="s">
        <v>33</v>
      </c>
      <c r="D167" s="1" t="s">
        <v>5</v>
      </c>
      <c r="E167">
        <v>43.924683810710995</v>
      </c>
    </row>
    <row r="168" spans="1:5">
      <c r="A168" t="s">
        <v>14</v>
      </c>
      <c r="B168" s="1" t="s">
        <v>67</v>
      </c>
      <c r="C168" t="s">
        <v>75</v>
      </c>
      <c r="D168" s="1" t="s">
        <v>26</v>
      </c>
      <c r="E168">
        <v>82.3829268292683</v>
      </c>
    </row>
    <row r="169" spans="1:5">
      <c r="A169" t="s">
        <v>14</v>
      </c>
      <c r="B169" s="1" t="s">
        <v>67</v>
      </c>
      <c r="C169" t="s">
        <v>60</v>
      </c>
      <c r="D169" s="1" t="s">
        <v>46</v>
      </c>
      <c r="E169">
        <v>1.09536933248007</v>
      </c>
    </row>
    <row r="170" spans="1:5">
      <c r="A170" t="s">
        <v>47</v>
      </c>
      <c r="B170" s="1" t="s">
        <v>82</v>
      </c>
      <c r="C170" t="s">
        <v>12</v>
      </c>
      <c r="D170" s="1" t="s">
        <v>10</v>
      </c>
      <c r="E170">
        <v>20080.209621559497</v>
      </c>
    </row>
    <row r="171" spans="1:5">
      <c r="A171" t="s">
        <v>47</v>
      </c>
      <c r="B171" s="1" t="s">
        <v>82</v>
      </c>
      <c r="C171" t="s">
        <v>52</v>
      </c>
      <c r="D171" s="1" t="s">
        <v>62</v>
      </c>
      <c r="E171">
        <v>5.7214057435443859</v>
      </c>
    </row>
    <row r="172" spans="1:5">
      <c r="A172" t="s">
        <v>47</v>
      </c>
      <c r="B172" s="1" t="s">
        <v>82</v>
      </c>
      <c r="C172" t="s">
        <v>44</v>
      </c>
      <c r="D172" s="1" t="s">
        <v>91</v>
      </c>
      <c r="E172">
        <v>35.603026699946504</v>
      </c>
    </row>
    <row r="173" spans="1:5">
      <c r="A173" t="s">
        <v>47</v>
      </c>
      <c r="B173" s="1" t="s">
        <v>82</v>
      </c>
      <c r="C173" t="s">
        <v>33</v>
      </c>
      <c r="D173" s="1" t="s">
        <v>5</v>
      </c>
      <c r="E173">
        <v>41.61195709395377</v>
      </c>
    </row>
    <row r="174" spans="1:5">
      <c r="A174" t="s">
        <v>47</v>
      </c>
      <c r="B174" s="1" t="s">
        <v>82</v>
      </c>
      <c r="C174" t="s">
        <v>75</v>
      </c>
      <c r="D174" s="1" t="s">
        <v>26</v>
      </c>
      <c r="E174">
        <v>76.458536585365863</v>
      </c>
    </row>
    <row r="175" spans="1:5">
      <c r="A175" t="s">
        <v>47</v>
      </c>
      <c r="B175" s="1" t="s">
        <v>82</v>
      </c>
      <c r="C175" t="s">
        <v>60</v>
      </c>
      <c r="D175" s="1" t="s">
        <v>46</v>
      </c>
      <c r="E175">
        <v>-4.8582020476197703E-2</v>
      </c>
    </row>
    <row r="176" spans="1:5">
      <c r="A176" t="s">
        <v>23</v>
      </c>
      <c r="B176" s="1" t="s">
        <v>76</v>
      </c>
      <c r="C176" t="s">
        <v>12</v>
      </c>
      <c r="D176" s="1" t="s">
        <v>10</v>
      </c>
      <c r="E176">
        <v>13679.206598355697</v>
      </c>
    </row>
    <row r="177" spans="1:5">
      <c r="A177" t="s">
        <v>23</v>
      </c>
      <c r="B177" s="1" t="s">
        <v>76</v>
      </c>
      <c r="C177" t="s">
        <v>52</v>
      </c>
      <c r="D177" s="1" t="s">
        <v>62</v>
      </c>
      <c r="E177">
        <v>4.6705297488997006</v>
      </c>
    </row>
    <row r="178" spans="1:5">
      <c r="A178" t="s">
        <v>23</v>
      </c>
      <c r="B178" s="1" t="s">
        <v>76</v>
      </c>
      <c r="C178" t="s">
        <v>44</v>
      </c>
      <c r="D178" s="1" t="s">
        <v>91</v>
      </c>
      <c r="E178">
        <v>53.583766709022605</v>
      </c>
    </row>
    <row r="179" spans="1:5">
      <c r="A179" t="s">
        <v>23</v>
      </c>
      <c r="B179" s="1" t="s">
        <v>76</v>
      </c>
      <c r="C179" t="s">
        <v>33</v>
      </c>
      <c r="D179" s="1" t="s">
        <v>5</v>
      </c>
      <c r="E179">
        <v>58.14126167989366</v>
      </c>
    </row>
    <row r="180" spans="1:5">
      <c r="A180" t="s">
        <v>23</v>
      </c>
      <c r="B180" s="1" t="s">
        <v>76</v>
      </c>
      <c r="C180" t="s">
        <v>75</v>
      </c>
      <c r="D180" s="1" t="s">
        <v>26</v>
      </c>
      <c r="E180">
        <v>75.968292682926844</v>
      </c>
    </row>
    <row r="181" spans="1:5">
      <c r="A181" t="s">
        <v>23</v>
      </c>
      <c r="B181" s="1" t="s">
        <v>76</v>
      </c>
      <c r="C181" t="s">
        <v>60</v>
      </c>
      <c r="D181" s="1" t="s">
        <v>46</v>
      </c>
      <c r="E181">
        <v>-0.55576142398442496</v>
      </c>
    </row>
    <row r="182" spans="1:5">
      <c r="A182" t="s">
        <v>20</v>
      </c>
      <c r="B182" s="1" t="s">
        <v>42</v>
      </c>
      <c r="C182" t="s">
        <v>12</v>
      </c>
      <c r="D182" s="1" t="s">
        <v>10</v>
      </c>
      <c r="E182">
        <v>25992.674850204778</v>
      </c>
    </row>
    <row r="183" spans="1:5">
      <c r="A183" t="s">
        <v>20</v>
      </c>
      <c r="B183" s="1" t="s">
        <v>42</v>
      </c>
      <c r="C183" t="s">
        <v>52</v>
      </c>
      <c r="D183" s="1" t="s">
        <v>62</v>
      </c>
      <c r="E183">
        <v>2.7576090942427181</v>
      </c>
    </row>
    <row r="184" spans="1:5">
      <c r="A184" t="s">
        <v>20</v>
      </c>
      <c r="B184" s="1" t="s">
        <v>42</v>
      </c>
      <c r="C184" t="s">
        <v>44</v>
      </c>
      <c r="D184" s="1" t="s">
        <v>91</v>
      </c>
      <c r="E184">
        <v>85.483498956127875</v>
      </c>
    </row>
    <row r="185" spans="1:5">
      <c r="A185" t="s">
        <v>20</v>
      </c>
      <c r="B185" s="1" t="s">
        <v>42</v>
      </c>
      <c r="C185" t="s">
        <v>33</v>
      </c>
      <c r="D185" s="1" t="s">
        <v>5</v>
      </c>
      <c r="E185">
        <v>85.729301195506991</v>
      </c>
    </row>
    <row r="186" spans="1:5">
      <c r="A186" t="s">
        <v>20</v>
      </c>
      <c r="B186" s="1" t="s">
        <v>42</v>
      </c>
      <c r="C186" t="s">
        <v>75</v>
      </c>
      <c r="D186" s="1" t="s">
        <v>26</v>
      </c>
      <c r="E186">
        <v>78.370731707317091</v>
      </c>
    </row>
    <row r="187" spans="1:5">
      <c r="A187" t="s">
        <v>20</v>
      </c>
      <c r="B187" s="1" t="s">
        <v>42</v>
      </c>
      <c r="C187" t="s">
        <v>60</v>
      </c>
      <c r="D187" s="1" t="s">
        <v>46</v>
      </c>
      <c r="E187">
        <v>-8.6110840160076904E-2</v>
      </c>
    </row>
    <row r="188" spans="1:5">
      <c r="A188" t="s">
        <v>55</v>
      </c>
      <c r="B188" s="1" t="s">
        <v>13</v>
      </c>
      <c r="C188" t="s">
        <v>12</v>
      </c>
      <c r="D188" s="1" t="s">
        <v>10</v>
      </c>
      <c r="E188">
        <v>34301.031868659353</v>
      </c>
    </row>
    <row r="189" spans="1:5">
      <c r="A189" t="s">
        <v>55</v>
      </c>
      <c r="B189" s="1" t="s">
        <v>13</v>
      </c>
      <c r="C189" t="s">
        <v>52</v>
      </c>
      <c r="D189" s="1" t="s">
        <v>62</v>
      </c>
      <c r="E189">
        <v>1.9656265643251249</v>
      </c>
    </row>
    <row r="190" spans="1:5">
      <c r="A190" t="s">
        <v>55</v>
      </c>
      <c r="B190" s="1" t="s">
        <v>13</v>
      </c>
      <c r="C190" t="s">
        <v>44</v>
      </c>
      <c r="D190" s="1" t="s">
        <v>91</v>
      </c>
      <c r="E190">
        <v>80.917389492035696</v>
      </c>
    </row>
    <row r="191" spans="1:5">
      <c r="A191" t="s">
        <v>55</v>
      </c>
      <c r="B191" s="1" t="s">
        <v>13</v>
      </c>
      <c r="C191" t="s">
        <v>33</v>
      </c>
      <c r="D191" s="1" t="s">
        <v>5</v>
      </c>
      <c r="E191">
        <v>74.740539192438021</v>
      </c>
    </row>
    <row r="192" spans="1:5">
      <c r="A192" t="s">
        <v>55</v>
      </c>
      <c r="B192" s="1" t="s">
        <v>13</v>
      </c>
      <c r="C192" t="s">
        <v>75</v>
      </c>
      <c r="D192" s="1" t="s">
        <v>26</v>
      </c>
      <c r="E192">
        <v>82.285365853658547</v>
      </c>
    </row>
    <row r="193" spans="1:5">
      <c r="A193" t="s">
        <v>55</v>
      </c>
      <c r="B193" s="1" t="s">
        <v>13</v>
      </c>
      <c r="C193" t="s">
        <v>60</v>
      </c>
      <c r="D193" s="1" t="s">
        <v>46</v>
      </c>
      <c r="E193">
        <v>0.32670589607575401</v>
      </c>
    </row>
    <row r="194" spans="1:5">
      <c r="A194" t="s">
        <v>64</v>
      </c>
      <c r="B194" s="1" t="s">
        <v>16</v>
      </c>
      <c r="C194" t="s">
        <v>12</v>
      </c>
      <c r="D194" s="1" t="s">
        <v>10</v>
      </c>
      <c r="E194">
        <v>35326.768306927806</v>
      </c>
    </row>
    <row r="195" spans="1:5">
      <c r="A195" t="s">
        <v>64</v>
      </c>
      <c r="B195" s="1" t="s">
        <v>16</v>
      </c>
      <c r="C195" t="s">
        <v>52</v>
      </c>
      <c r="D195" s="1" t="s">
        <v>62</v>
      </c>
      <c r="E195">
        <v>2.7741782653477198</v>
      </c>
    </row>
    <row r="196" spans="1:5">
      <c r="A196" t="s">
        <v>64</v>
      </c>
      <c r="B196" s="1" t="s">
        <v>16</v>
      </c>
      <c r="C196" t="s">
        <v>44</v>
      </c>
      <c r="D196" s="1" t="s">
        <v>91</v>
      </c>
      <c r="E196">
        <v>37.055879272170756</v>
      </c>
    </row>
    <row r="197" spans="1:5">
      <c r="A197" t="s">
        <v>64</v>
      </c>
      <c r="B197" s="1" t="s">
        <v>16</v>
      </c>
      <c r="C197" t="s">
        <v>33</v>
      </c>
      <c r="D197" s="1" t="s">
        <v>5</v>
      </c>
      <c r="E197">
        <v>32.89438196609234</v>
      </c>
    </row>
    <row r="198" spans="1:5">
      <c r="A198" t="s">
        <v>64</v>
      </c>
      <c r="B198" s="1" t="s">
        <v>16</v>
      </c>
      <c r="C198" t="s">
        <v>75</v>
      </c>
      <c r="D198" s="1" t="s">
        <v>26</v>
      </c>
      <c r="E198">
        <v>83.887804878048797</v>
      </c>
    </row>
    <row r="199" spans="1:5">
      <c r="A199" t="s">
        <v>64</v>
      </c>
      <c r="B199" s="1" t="s">
        <v>16</v>
      </c>
      <c r="C199" t="s">
        <v>60</v>
      </c>
      <c r="D199" s="1" t="s">
        <v>46</v>
      </c>
      <c r="E199">
        <v>1.0212126093838101</v>
      </c>
    </row>
    <row r="200" spans="1:5">
      <c r="A200" t="s">
        <v>83</v>
      </c>
      <c r="B200" s="1" t="s">
        <v>24</v>
      </c>
      <c r="C200" t="s">
        <v>12</v>
      </c>
      <c r="D200" s="1" t="s">
        <v>10</v>
      </c>
      <c r="E200">
        <v>57117.487744061626</v>
      </c>
    </row>
    <row r="201" spans="1:5">
      <c r="A201" t="s">
        <v>83</v>
      </c>
      <c r="B201" s="1" t="s">
        <v>24</v>
      </c>
      <c r="C201" t="s">
        <v>52</v>
      </c>
      <c r="D201" s="1" t="s">
        <v>62</v>
      </c>
      <c r="E201">
        <v>2.8358165822403398</v>
      </c>
    </row>
    <row r="202" spans="1:5">
      <c r="A202" t="s">
        <v>83</v>
      </c>
      <c r="B202" s="1" t="s">
        <v>24</v>
      </c>
      <c r="C202" t="s">
        <v>44</v>
      </c>
      <c r="D202" s="1" t="s">
        <v>91</v>
      </c>
      <c r="E202">
        <v>54.309580972447122</v>
      </c>
    </row>
    <row r="203" spans="1:5">
      <c r="A203" t="s">
        <v>83</v>
      </c>
      <c r="B203" s="1" t="s">
        <v>24</v>
      </c>
      <c r="C203" t="s">
        <v>33</v>
      </c>
      <c r="D203" s="1" t="s">
        <v>5</v>
      </c>
      <c r="E203">
        <v>51.573510508017208</v>
      </c>
    </row>
    <row r="204" spans="1:5">
      <c r="A204" t="s">
        <v>83</v>
      </c>
      <c r="B204" s="1" t="s">
        <v>24</v>
      </c>
      <c r="C204" t="s">
        <v>75</v>
      </c>
      <c r="D204" s="1" t="s">
        <v>26</v>
      </c>
      <c r="E204">
        <v>84.063414634146341</v>
      </c>
    </row>
    <row r="205" spans="1:5">
      <c r="A205" t="s">
        <v>83</v>
      </c>
      <c r="B205" s="1" t="s">
        <v>24</v>
      </c>
      <c r="C205" t="s">
        <v>60</v>
      </c>
      <c r="D205" s="1" t="s">
        <v>46</v>
      </c>
      <c r="E205">
        <v>0.31343212998360698</v>
      </c>
    </row>
    <row r="206" spans="1:5">
      <c r="A206" t="s">
        <v>36</v>
      </c>
      <c r="B206" s="1" t="s">
        <v>90</v>
      </c>
      <c r="C206" t="s">
        <v>12</v>
      </c>
      <c r="D206" s="1" t="s">
        <v>10</v>
      </c>
      <c r="E206">
        <v>103998.18668560409</v>
      </c>
    </row>
    <row r="207" spans="1:5">
      <c r="A207" t="s">
        <v>36</v>
      </c>
      <c r="B207" s="1" t="s">
        <v>90</v>
      </c>
      <c r="C207" t="s">
        <v>52</v>
      </c>
      <c r="D207" s="1" t="s">
        <v>62</v>
      </c>
      <c r="E207">
        <v>1.0623404197659401</v>
      </c>
    </row>
    <row r="208" spans="1:5">
      <c r="A208" t="s">
        <v>36</v>
      </c>
      <c r="B208" s="1" t="s">
        <v>90</v>
      </c>
      <c r="C208" t="s">
        <v>44</v>
      </c>
      <c r="D208" s="1" t="s">
        <v>91</v>
      </c>
      <c r="E208">
        <v>72.15894476679054</v>
      </c>
    </row>
    <row r="209" spans="1:5">
      <c r="A209" t="s">
        <v>36</v>
      </c>
      <c r="B209" s="1" t="s">
        <v>90</v>
      </c>
      <c r="C209" t="s">
        <v>33</v>
      </c>
      <c r="D209" s="1" t="s">
        <v>5</v>
      </c>
      <c r="E209">
        <v>61.936203753819221</v>
      </c>
    </row>
    <row r="210" spans="1:5">
      <c r="A210" t="s">
        <v>36</v>
      </c>
      <c r="B210" s="1" t="s">
        <v>90</v>
      </c>
      <c r="C210" t="s">
        <v>75</v>
      </c>
      <c r="D210" s="1" t="s">
        <v>26</v>
      </c>
      <c r="E210">
        <v>84.407317073170745</v>
      </c>
    </row>
    <row r="211" spans="1:5">
      <c r="A211" t="s">
        <v>36</v>
      </c>
      <c r="B211" s="1" t="s">
        <v>90</v>
      </c>
      <c r="C211" t="s">
        <v>60</v>
      </c>
      <c r="D211" s="1" t="s">
        <v>46</v>
      </c>
      <c r="E211">
        <v>1.30500749907811</v>
      </c>
    </row>
    <row r="212" spans="1:5">
      <c r="A212" t="s">
        <v>81</v>
      </c>
      <c r="B212" s="1" t="s">
        <v>29</v>
      </c>
      <c r="C212" t="s">
        <v>12</v>
      </c>
      <c r="D212" s="1" t="s">
        <v>10</v>
      </c>
      <c r="E212">
        <v>5389.47314453125</v>
      </c>
    </row>
    <row r="213" spans="1:5">
      <c r="A213" t="s">
        <v>81</v>
      </c>
      <c r="B213" s="1" t="s">
        <v>29</v>
      </c>
      <c r="C213" t="s">
        <v>52</v>
      </c>
      <c r="D213" s="1" t="s">
        <v>62</v>
      </c>
      <c r="E213">
        <v>6.5019846466925397</v>
      </c>
    </row>
    <row r="214" spans="1:5">
      <c r="A214" t="s">
        <v>81</v>
      </c>
      <c r="B214" s="1" t="s">
        <v>29</v>
      </c>
      <c r="C214" t="s">
        <v>44</v>
      </c>
      <c r="D214" s="1" t="s">
        <v>91</v>
      </c>
      <c r="E214">
        <v>29.410213981324929</v>
      </c>
    </row>
    <row r="215" spans="1:5">
      <c r="A215" t="s">
        <v>81</v>
      </c>
      <c r="B215" s="1" t="s">
        <v>29</v>
      </c>
      <c r="C215" t="s">
        <v>33</v>
      </c>
      <c r="D215" s="1" t="s">
        <v>5</v>
      </c>
      <c r="E215">
        <v>48.342797348726457</v>
      </c>
    </row>
    <row r="216" spans="1:5">
      <c r="A216" t="s">
        <v>81</v>
      </c>
      <c r="B216" s="1" t="s">
        <v>29</v>
      </c>
      <c r="C216" t="s">
        <v>75</v>
      </c>
      <c r="D216" s="1" t="s">
        <v>26</v>
      </c>
      <c r="E216">
        <v>74.691999999999993</v>
      </c>
    </row>
    <row r="217" spans="1:5">
      <c r="A217" t="s">
        <v>81</v>
      </c>
      <c r="B217" s="1" t="s">
        <v>29</v>
      </c>
      <c r="C217" t="s">
        <v>60</v>
      </c>
      <c r="D217" s="1" t="s">
        <v>46</v>
      </c>
      <c r="E217">
        <v>0.33702862573393999</v>
      </c>
    </row>
    <row r="218" spans="1:5">
      <c r="A218" t="s">
        <v>6</v>
      </c>
      <c r="B218" s="1" t="s">
        <v>49</v>
      </c>
      <c r="C218" t="s">
        <v>12</v>
      </c>
      <c r="D218" s="1" t="s">
        <v>10</v>
      </c>
      <c r="E218">
        <v>53246.367614510847</v>
      </c>
    </row>
    <row r="219" spans="1:5">
      <c r="A219" t="s">
        <v>6</v>
      </c>
      <c r="B219" s="1" t="s">
        <v>49</v>
      </c>
      <c r="C219" t="s">
        <v>52</v>
      </c>
      <c r="D219" s="1" t="s">
        <v>62</v>
      </c>
      <c r="E219">
        <v>3.2715729463592012</v>
      </c>
    </row>
    <row r="220" spans="1:5">
      <c r="A220" t="s">
        <v>6</v>
      </c>
      <c r="B220" s="1" t="s">
        <v>49</v>
      </c>
      <c r="C220" t="s">
        <v>44</v>
      </c>
      <c r="D220" s="1" t="s">
        <v>91</v>
      </c>
      <c r="E220">
        <v>30.984158840168845</v>
      </c>
    </row>
    <row r="221" spans="1:5">
      <c r="A221" t="s">
        <v>6</v>
      </c>
      <c r="B221" s="1" t="s">
        <v>49</v>
      </c>
      <c r="C221" t="s">
        <v>33</v>
      </c>
      <c r="D221" s="1" t="s">
        <v>5</v>
      </c>
      <c r="E221">
        <v>31.856001686542957</v>
      </c>
    </row>
    <row r="222" spans="1:5">
      <c r="A222" t="s">
        <v>6</v>
      </c>
      <c r="B222" s="1" t="s">
        <v>49</v>
      </c>
      <c r="C222" t="s">
        <v>75</v>
      </c>
      <c r="D222" s="1" t="s">
        <v>26</v>
      </c>
      <c r="E222">
        <v>81.386853658536594</v>
      </c>
    </row>
    <row r="223" spans="1:5">
      <c r="A223" t="s">
        <v>6</v>
      </c>
      <c r="B223" s="1" t="s">
        <v>49</v>
      </c>
      <c r="C223" t="s">
        <v>60</v>
      </c>
      <c r="D223" s="1" t="s">
        <v>46</v>
      </c>
      <c r="E223">
        <v>1.0659564474212</v>
      </c>
    </row>
    <row r="224" spans="1:5">
      <c r="B224" s="1"/>
      <c r="D224" s="1"/>
    </row>
    <row r="225" spans="1:4">
      <c r="B225" s="1"/>
      <c r="D225" s="1"/>
    </row>
    <row r="226" spans="1:4">
      <c r="B226" s="1"/>
      <c r="D226" s="1"/>
    </row>
    <row r="227" spans="1:4">
      <c r="A227" t="s">
        <v>28</v>
      </c>
      <c r="B227" s="1"/>
      <c r="D227" s="1"/>
    </row>
    <row r="228" spans="1:4">
      <c r="A228" t="s">
        <v>17</v>
      </c>
    </row>
  </sheetData>
  <autoFilter ref="A1:E22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tabSelected="1" topLeftCell="M110" zoomScale="60" workbookViewId="0">
      <selection sqref="A1:AN145"/>
    </sheetView>
  </sheetViews>
  <sheetFormatPr defaultRowHeight="14.5"/>
  <cols>
    <col min="1" max="1" width="20.54296875" bestFit="1" customWidth="1"/>
    <col min="2" max="2" width="20" customWidth="1"/>
    <col min="3" max="3" width="12.6328125" customWidth="1"/>
    <col min="4" max="4" width="13.1796875" customWidth="1"/>
    <col min="5" max="5" width="17.1796875" customWidth="1"/>
    <col min="6" max="6" width="15.08984375" customWidth="1"/>
    <col min="7" max="7" width="11.54296875" customWidth="1"/>
    <col min="11" max="11" width="13.453125" customWidth="1"/>
    <col min="15" max="15" width="19.1796875" bestFit="1" customWidth="1"/>
    <col min="16" max="16" width="13.453125" customWidth="1"/>
    <col min="17" max="17" width="14.08984375" customWidth="1"/>
    <col min="18" max="18" width="11.90625" customWidth="1"/>
    <col min="19" max="19" width="13.08984375" customWidth="1"/>
    <col min="20" max="20" width="11.90625" customWidth="1"/>
  </cols>
  <sheetData>
    <row r="1" spans="1:21" ht="58">
      <c r="A1" s="6" t="s">
        <v>97</v>
      </c>
      <c r="B1" s="6" t="s">
        <v>44</v>
      </c>
      <c r="C1" s="6" t="s">
        <v>12</v>
      </c>
      <c r="D1" s="6" t="s">
        <v>33</v>
      </c>
      <c r="E1" s="6" t="s">
        <v>52</v>
      </c>
      <c r="F1" s="6" t="s">
        <v>75</v>
      </c>
      <c r="G1" s="6" t="s">
        <v>60</v>
      </c>
      <c r="H1" s="9" t="s">
        <v>102</v>
      </c>
      <c r="I1" s="9" t="s">
        <v>101</v>
      </c>
      <c r="J1" s="6" t="s">
        <v>98</v>
      </c>
      <c r="K1" s="10" t="s">
        <v>103</v>
      </c>
      <c r="N1" s="8" t="s">
        <v>97</v>
      </c>
      <c r="O1" s="8" t="s">
        <v>44</v>
      </c>
      <c r="P1" s="8" t="s">
        <v>12</v>
      </c>
      <c r="Q1" s="8" t="s">
        <v>33</v>
      </c>
      <c r="R1" s="8" t="s">
        <v>52</v>
      </c>
      <c r="S1" s="8" t="s">
        <v>75</v>
      </c>
      <c r="T1" s="8" t="s">
        <v>60</v>
      </c>
      <c r="U1" s="6" t="s">
        <v>98</v>
      </c>
    </row>
    <row r="2" spans="1:21">
      <c r="A2" s="5" t="s">
        <v>19</v>
      </c>
      <c r="B2" s="5">
        <v>36.284868535146515</v>
      </c>
      <c r="C2" s="5">
        <v>11377.775743109876</v>
      </c>
      <c r="D2" s="5">
        <v>43.169767540075846</v>
      </c>
      <c r="E2" s="5">
        <v>2.21587375089991</v>
      </c>
      <c r="F2" s="5">
        <v>79.775999999999996</v>
      </c>
      <c r="G2" s="5">
        <v>-1.54314393524594</v>
      </c>
      <c r="H2" s="5">
        <f>IF(C2&gt;=$K$2,1,0)</f>
        <v>0</v>
      </c>
      <c r="I2" s="5" t="str">
        <f>IF(H2=1,"High GDP","Low GDP")</f>
        <v>Low GDP</v>
      </c>
      <c r="J2" s="5">
        <v>11537.679109000754</v>
      </c>
      <c r="K2">
        <f>MEDIAN(C2:C37)</f>
        <v>31625.831305333391</v>
      </c>
      <c r="N2" s="5" t="s">
        <v>19</v>
      </c>
      <c r="O2" s="5">
        <f>(B2-$B$41)/$B$42</f>
        <v>-6.924451250342549E-2</v>
      </c>
      <c r="P2" s="5">
        <f>(C2-$C$41)/$C$42</f>
        <v>-0.12439347166439475</v>
      </c>
      <c r="Q2" s="5">
        <f>(D2-$D$41)/$D$42</f>
        <v>-4.7760108887714432E-2</v>
      </c>
      <c r="R2" s="5">
        <f>(E2-$E$41)/$E$42</f>
        <v>-3.8107576686980886E-2</v>
      </c>
      <c r="S2" s="5">
        <f>(F2-$F$41)/$F$42</f>
        <v>-7.4986574419739908E-4</v>
      </c>
      <c r="T2" s="5">
        <f>(G2-$G$41)/$G$42</f>
        <v>-1.1500671354173375</v>
      </c>
      <c r="U2" s="5">
        <v>11537.679109000754</v>
      </c>
    </row>
    <row r="3" spans="1:21">
      <c r="A3" s="5" t="s">
        <v>85</v>
      </c>
      <c r="B3" s="5">
        <v>55.678285085164134</v>
      </c>
      <c r="C3" s="5">
        <v>58268.878765160116</v>
      </c>
      <c r="D3" s="5">
        <v>53.147492749240577</v>
      </c>
      <c r="E3" s="5">
        <v>2.9379157427937499</v>
      </c>
      <c r="F3" s="5">
        <v>81.995121951219517</v>
      </c>
      <c r="G3" s="5">
        <v>0.50487981379598601</v>
      </c>
      <c r="H3" s="5">
        <f>IF(C3&gt;=$K$2,1,0)</f>
        <v>1</v>
      </c>
      <c r="I3" s="5" t="str">
        <f t="shared" ref="I3:I39" si="0">IF(H3=1,"High GDP","Low GDP")</f>
        <v>High GDP</v>
      </c>
      <c r="J3" s="5">
        <v>58463.142460502328</v>
      </c>
      <c r="N3" s="5" t="s">
        <v>85</v>
      </c>
      <c r="O3" s="5">
        <f>(B3-$B$41)/$B$42</f>
        <v>-1.509089791103012E-2</v>
      </c>
      <c r="P3" s="5">
        <f>(C3-$C$41)/$C$42</f>
        <v>6.3213868867406334E-2</v>
      </c>
      <c r="Q3" s="5">
        <f>(D3-$D$41)/$D$42</f>
        <v>-1.9315028389101305E-2</v>
      </c>
      <c r="R3" s="5">
        <f>(E3-$E$41)/$E$42</f>
        <v>5.096819804651544E-3</v>
      </c>
      <c r="S3" s="5">
        <f>(F3-$F$41)/$F$42</f>
        <v>3.9923616632949943E-3</v>
      </c>
      <c r="T3" s="5">
        <f>(G3-$G$41)/$G$42</f>
        <v>0.18002942258818938</v>
      </c>
      <c r="U3" s="5">
        <v>58463.142460502328</v>
      </c>
    </row>
    <row r="4" spans="1:21">
      <c r="A4" s="5" t="s">
        <v>65</v>
      </c>
      <c r="B4" s="5">
        <v>79.273086411473159</v>
      </c>
      <c r="C4" s="5">
        <v>56614.567949903583</v>
      </c>
      <c r="D4" s="5">
        <v>79.658739926593469</v>
      </c>
      <c r="E4" s="5">
        <v>3.1434913650004099</v>
      </c>
      <c r="F4" s="5">
        <v>82.300000000000011</v>
      </c>
      <c r="G4" s="5">
        <v>0.66555918543206005</v>
      </c>
      <c r="H4" s="5">
        <f>IF(C4&gt;=$K$2,1,0)</f>
        <v>1</v>
      </c>
      <c r="I4" s="5" t="str">
        <f t="shared" si="0"/>
        <v>High GDP</v>
      </c>
      <c r="J4" s="5">
        <v>56859.608826792079</v>
      </c>
      <c r="N4" s="5" t="s">
        <v>65</v>
      </c>
      <c r="O4" s="5">
        <f>(B4-$B$41)/$B$42</f>
        <v>5.079454182640062E-2</v>
      </c>
      <c r="P4" s="5">
        <f>(C4-$C$41)/$C$42</f>
        <v>5.6595111097572502E-2</v>
      </c>
      <c r="Q4" s="5">
        <f>(D4-$D$41)/$D$42</f>
        <v>5.6264780061202023E-2</v>
      </c>
      <c r="R4" s="5">
        <f>(E4-$E$41)/$E$42</f>
        <v>1.7397725833031737E-2</v>
      </c>
      <c r="S4" s="5">
        <f>(F4-$F$41)/$F$42</f>
        <v>4.6438810798259894E-3</v>
      </c>
      <c r="T4" s="5">
        <f>(G4-$G$41)/$G$42</f>
        <v>0.28438323159827128</v>
      </c>
      <c r="U4" s="5">
        <v>56859.608826792079</v>
      </c>
    </row>
    <row r="5" spans="1:21">
      <c r="A5" s="5" t="s">
        <v>53</v>
      </c>
      <c r="B5" s="5">
        <v>40.872841121631545</v>
      </c>
      <c r="C5" s="5">
        <v>9358.7876895113404</v>
      </c>
      <c r="D5" s="5">
        <v>54.283454589185595</v>
      </c>
      <c r="E5" s="5">
        <v>1.69212733599723</v>
      </c>
      <c r="F5" s="5">
        <v>78.043999999999997</v>
      </c>
      <c r="G5" s="5">
        <v>-0.65581999167383698</v>
      </c>
      <c r="H5" s="5">
        <f>IF(C5&gt;=$K$2,1,0)</f>
        <v>0</v>
      </c>
      <c r="I5" s="5" t="str">
        <f t="shared" si="0"/>
        <v>Low GDP</v>
      </c>
      <c r="J5" s="5">
        <v>9533.0242925664788</v>
      </c>
      <c r="N5" s="5" t="s">
        <v>53</v>
      </c>
      <c r="O5" s="5">
        <f>(B5-$B$41)/$B$42</f>
        <v>-5.6433190755749214E-2</v>
      </c>
      <c r="P5" s="5">
        <f>(C5-$C$41)/$C$42</f>
        <v>-0.13247127224679908</v>
      </c>
      <c r="Q5" s="5">
        <f>(D5-$D$41)/$D$42</f>
        <v>-1.6076562175288456E-2</v>
      </c>
      <c r="R5" s="5">
        <f>(E5-$E$41)/$E$42</f>
        <v>-6.9446678878496329E-2</v>
      </c>
      <c r="S5" s="5">
        <f>(F5-$F$41)/$F$42</f>
        <v>-4.4511214887332342E-3</v>
      </c>
      <c r="T5" s="5">
        <f>(G5-$G$41)/$G$42</f>
        <v>-0.5737913360115644</v>
      </c>
      <c r="U5" s="5">
        <v>9533.0242925664788</v>
      </c>
    </row>
    <row r="6" spans="1:21">
      <c r="A6" s="5" t="s">
        <v>78</v>
      </c>
      <c r="B6" s="5">
        <v>56.369962084093814</v>
      </c>
      <c r="C6" s="5">
        <v>17596.017366352113</v>
      </c>
      <c r="D6" s="5">
        <v>53.856352475116267</v>
      </c>
      <c r="E6" s="5">
        <v>2.4465194300607802</v>
      </c>
      <c r="F6" s="5">
        <v>75.760975609756102</v>
      </c>
      <c r="G6" s="5">
        <v>-8.0307160956148801E-2</v>
      </c>
      <c r="H6" s="5">
        <f>IF(C6&gt;=$K$2,1,0)</f>
        <v>0</v>
      </c>
      <c r="I6" s="5" t="str">
        <f t="shared" si="0"/>
        <v>Low GDP</v>
      </c>
      <c r="J6" s="5">
        <v>17784.370868790182</v>
      </c>
      <c r="N6" s="5" t="s">
        <v>78</v>
      </c>
      <c r="O6" s="5">
        <f>(B6-$B$41)/$B$42</f>
        <v>-1.3159479095482197E-2</v>
      </c>
      <c r="P6" s="5">
        <f>(C6-$C$41)/$C$42</f>
        <v>-9.951481241912076E-2</v>
      </c>
      <c r="Q6" s="5">
        <f>(D6-$D$41)/$D$42</f>
        <v>-1.7294169772325788E-2</v>
      </c>
      <c r="R6" s="5">
        <f>(E6-$E$41)/$E$42</f>
        <v>-2.4306568596840342E-2</v>
      </c>
      <c r="S6" s="5">
        <f>(F6-$F$41)/$F$42</f>
        <v>-9.3299073659304874E-3</v>
      </c>
      <c r="T6" s="5">
        <f>(G6-$G$41)/$G$42</f>
        <v>-0.2000224109277059</v>
      </c>
      <c r="U6" s="5">
        <v>17784.370868790182</v>
      </c>
    </row>
    <row r="7" spans="1:21">
      <c r="A7" s="5" t="s">
        <v>51</v>
      </c>
      <c r="B7" s="5">
        <v>50.141089194988943</v>
      </c>
      <c r="C7" s="5">
        <v>24050.439793313548</v>
      </c>
      <c r="D7" s="5">
        <v>54.771236878264261</v>
      </c>
      <c r="E7" s="5">
        <v>2.9720047764361812</v>
      </c>
      <c r="F7" s="5">
        <v>78.929268292682934</v>
      </c>
      <c r="G7" s="5">
        <v>0.16862794878328499</v>
      </c>
      <c r="H7" s="5">
        <f>IF(C7&gt;=$K$2,1,0)</f>
        <v>0</v>
      </c>
      <c r="I7" s="5" t="str">
        <f t="shared" si="0"/>
        <v>Low GDP</v>
      </c>
      <c r="J7" s="5">
        <v>24237.422020404701</v>
      </c>
      <c r="N7" s="5" t="s">
        <v>51</v>
      </c>
      <c r="O7" s="5">
        <f>(B7-$B$41)/$B$42</f>
        <v>-3.0552803315153997E-2</v>
      </c>
      <c r="P7" s="5">
        <f>(C7-$C$41)/$C$42</f>
        <v>-7.3691213737263533E-2</v>
      </c>
      <c r="Q7" s="5">
        <f>(D7-$D$41)/$D$42</f>
        <v>-1.4685963999073303E-2</v>
      </c>
      <c r="R7" s="5">
        <f>(E7-$E$41)/$E$42</f>
        <v>7.1365850011897826E-3</v>
      </c>
      <c r="S7" s="5">
        <f>(F7-$F$41)/$F$42</f>
        <v>-2.5593175893405358E-3</v>
      </c>
      <c r="T7" s="5">
        <f>(G7-$G$41)/$G$42</f>
        <v>-3.8350588134614449E-2</v>
      </c>
      <c r="U7" s="5">
        <v>24237.422020404701</v>
      </c>
    </row>
    <row r="8" spans="1:21">
      <c r="A8" s="5" t="s">
        <v>34</v>
      </c>
      <c r="B8" s="5">
        <v>97.020235938456324</v>
      </c>
      <c r="C8" s="5">
        <v>38674.29296875</v>
      </c>
      <c r="D8" s="5">
        <v>93.382634982303372</v>
      </c>
      <c r="E8" s="5">
        <v>1.80023018624815</v>
      </c>
      <c r="F8" s="5">
        <v>81.820999999999998</v>
      </c>
      <c r="G8" s="5">
        <v>0.98444968711322101</v>
      </c>
      <c r="H8" s="5">
        <f>IF(C8&gt;=$K$2,1,0)</f>
        <v>1</v>
      </c>
      <c r="I8" s="5" t="str">
        <f t="shared" si="0"/>
        <v>High GDP</v>
      </c>
      <c r="J8" s="5">
        <v>38949.301519544133</v>
      </c>
      <c r="N8" s="5" t="s">
        <v>34</v>
      </c>
      <c r="O8" s="5">
        <f>(B8-$B$41)/$B$42</f>
        <v>0.10035116807217601</v>
      </c>
      <c r="P8" s="5">
        <f>(C8-$C$41)/$C$42</f>
        <v>-1.5182413010587637E-2</v>
      </c>
      <c r="Q8" s="5">
        <f>(D8-$D$41)/$D$42</f>
        <v>9.5389659874049335E-2</v>
      </c>
      <c r="R8" s="5">
        <f>(E8-$E$41)/$E$42</f>
        <v>-6.2978193033419588E-2</v>
      </c>
      <c r="S8" s="5">
        <f>(F8-$F$41)/$F$42</f>
        <v>3.6202658941258069E-3</v>
      </c>
      <c r="T8" s="5">
        <f>(G8-$G$41)/$G$42</f>
        <v>0.49148784103709708</v>
      </c>
      <c r="U8" s="5">
        <v>38949.301519544133</v>
      </c>
    </row>
    <row r="9" spans="1:21">
      <c r="A9" s="5" t="s">
        <v>7</v>
      </c>
      <c r="B9" s="5">
        <v>68.868151448324895</v>
      </c>
      <c r="C9" s="5">
        <v>31823.307829056383</v>
      </c>
      <c r="D9" s="5">
        <v>62.616829621627424</v>
      </c>
      <c r="E9" s="5">
        <v>2.4353120243531401</v>
      </c>
      <c r="F9" s="5">
        <v>79.978048780487811</v>
      </c>
      <c r="G9" s="5">
        <v>0.37655304915749399</v>
      </c>
      <c r="H9" s="5">
        <f>IF(C9&gt;=$K$2,1,0)</f>
        <v>1</v>
      </c>
      <c r="I9" s="5" t="str">
        <f t="shared" si="0"/>
        <v>High GDP</v>
      </c>
      <c r="J9" s="5">
        <v>32037.582723980337</v>
      </c>
      <c r="N9" s="5" t="s">
        <v>7</v>
      </c>
      <c r="O9" s="5">
        <f>(B9-$B$41)/$B$42</f>
        <v>2.1740102841911392E-2</v>
      </c>
      <c r="P9" s="5">
        <f>(C9-$C$41)/$C$42</f>
        <v>-4.2592625593482251E-2</v>
      </c>
      <c r="Q9" s="5">
        <f>(D9-$D$41)/$D$42</f>
        <v>7.6807090116562003E-3</v>
      </c>
      <c r="R9" s="5">
        <f>(E9-$E$41)/$E$42</f>
        <v>-2.4977179455033558E-2</v>
      </c>
      <c r="S9" s="5">
        <f>(F9-$F$41)/$F$42</f>
        <v>-3.1809079647396766E-4</v>
      </c>
      <c r="T9" s="5">
        <f>(G9-$G$41)/$G$42</f>
        <v>9.6687133210201615E-2</v>
      </c>
      <c r="U9" s="5">
        <v>32037.582723980337</v>
      </c>
    </row>
    <row r="10" spans="1:21">
      <c r="A10" s="5" t="s">
        <v>72</v>
      </c>
      <c r="B10" s="5">
        <v>71.002013204304575</v>
      </c>
      <c r="C10" s="5">
        <v>71026.483227189703</v>
      </c>
      <c r="D10" s="5">
        <v>60.763017770902117</v>
      </c>
      <c r="E10" s="5">
        <v>1.3722004976892499</v>
      </c>
      <c r="F10" s="5">
        <v>82.253658536585377</v>
      </c>
      <c r="G10" s="5">
        <v>0.503861198167737</v>
      </c>
      <c r="H10" s="5">
        <f>IF(C10&gt;=$K$2,1,0)</f>
        <v>1</v>
      </c>
      <c r="I10" s="5" t="str">
        <f t="shared" si="0"/>
        <v>High GDP</v>
      </c>
      <c r="J10" s="5">
        <v>71242.377978397359</v>
      </c>
      <c r="N10" s="5" t="s">
        <v>72</v>
      </c>
      <c r="O10" s="5">
        <f>(B10-$B$41)/$B$42</f>
        <v>2.7698636596329748E-2</v>
      </c>
      <c r="P10" s="5">
        <f>(C10-$C$41)/$C$42</f>
        <v>0.11425596620413393</v>
      </c>
      <c r="Q10" s="5">
        <f>(D10-$D$41)/$D$42</f>
        <v>2.395754152934579E-3</v>
      </c>
      <c r="R10" s="5">
        <f>(E10-$E$41)/$E$42</f>
        <v>-8.8589950496699668E-2</v>
      </c>
      <c r="S10" s="5">
        <f>(F10-$F$41)/$F$42</f>
        <v>4.5448501285132795E-3</v>
      </c>
      <c r="T10" s="5">
        <f>(G10-$G$41)/$G$42</f>
        <v>0.17936787892117945</v>
      </c>
      <c r="U10" s="5">
        <v>71242.377978397359</v>
      </c>
    </row>
    <row r="11" spans="1:21">
      <c r="A11" s="5" t="s">
        <v>0</v>
      </c>
      <c r="B11" s="5">
        <v>75.669483321314246</v>
      </c>
      <c r="C11" s="5">
        <v>31428.354781610396</v>
      </c>
      <c r="D11" s="5">
        <v>75.368219089140908</v>
      </c>
      <c r="E11" s="5">
        <v>3.5194118998391999</v>
      </c>
      <c r="F11" s="5">
        <v>79.295121951219528</v>
      </c>
      <c r="G11" s="5">
        <v>0.14985635192642399</v>
      </c>
      <c r="H11" s="5">
        <f>IF(C11&gt;=$K$2,1,0)</f>
        <v>0</v>
      </c>
      <c r="I11" s="5" t="str">
        <f t="shared" si="0"/>
        <v>Low GDP</v>
      </c>
      <c r="J11" s="5">
        <v>31662.356874223839</v>
      </c>
      <c r="N11" s="5" t="s">
        <v>0</v>
      </c>
      <c r="O11" s="5">
        <f>(B11-$B$41)/$B$42</f>
        <v>4.0731944945385685E-2</v>
      </c>
      <c r="P11" s="5">
        <f>(C11-$C$41)/$C$42</f>
        <v>-4.4172799359738689E-2</v>
      </c>
      <c r="Q11" s="5">
        <f>(D11-$D$41)/$D$42</f>
        <v>4.4033113218922663E-2</v>
      </c>
      <c r="R11" s="5">
        <f>(E11-$E$41)/$E$42</f>
        <v>3.9891458910691215E-2</v>
      </c>
      <c r="S11" s="5">
        <f>(F11-$F$41)/$F$42</f>
        <v>-1.7774942895033416E-3</v>
      </c>
      <c r="T11" s="5">
        <f>(G11-$G$41)/$G$42</f>
        <v>-5.0541870769524488E-2</v>
      </c>
      <c r="U11" s="5">
        <v>31662.356874223839</v>
      </c>
    </row>
    <row r="12" spans="1:21">
      <c r="A12" s="5" t="s">
        <v>32</v>
      </c>
      <c r="B12" s="5">
        <v>41.907791986606902</v>
      </c>
      <c r="C12" s="5">
        <v>53149.767193405052</v>
      </c>
      <c r="D12" s="5">
        <v>41.552309548743857</v>
      </c>
      <c r="E12" s="5">
        <v>1.5656890623161499</v>
      </c>
      <c r="F12" s="5">
        <v>82.336585365853679</v>
      </c>
      <c r="G12" s="5">
        <v>0.64264005436334304</v>
      </c>
      <c r="H12" s="5">
        <f>IF(C12&gt;=$K$2,1,0)</f>
        <v>1</v>
      </c>
      <c r="I12" s="5" t="str">
        <f t="shared" si="0"/>
        <v>High GDP</v>
      </c>
      <c r="J12" s="5">
        <v>53317.772209422939</v>
      </c>
      <c r="N12" s="5" t="s">
        <v>32</v>
      </c>
      <c r="O12" s="5">
        <f>(B12-$B$41)/$B$42</f>
        <v>-5.3543223940495571E-2</v>
      </c>
      <c r="P12" s="5">
        <f>(C12-$C$41)/$C$42</f>
        <v>4.2732736073176222E-2</v>
      </c>
      <c r="Q12" s="5">
        <f>(D12-$D$41)/$D$42</f>
        <v>-5.2371252390073432E-2</v>
      </c>
      <c r="R12" s="5">
        <f>(E12-$E$41)/$E$42</f>
        <v>-7.7012290531506794E-2</v>
      </c>
      <c r="S12" s="5">
        <f>(F12-$F$41)/$F$42</f>
        <v>4.7220634098097264E-3</v>
      </c>
      <c r="T12" s="5">
        <f>(G12-$G$41)/$G$42</f>
        <v>0.26949831761168352</v>
      </c>
      <c r="U12" s="5">
        <v>53317.772209422939</v>
      </c>
    </row>
    <row r="13" spans="1:21">
      <c r="A13" s="5" t="s">
        <v>57</v>
      </c>
      <c r="B13" s="5">
        <v>33.889754234383176</v>
      </c>
      <c r="C13" s="5">
        <v>46103.084085588387</v>
      </c>
      <c r="D13" s="5">
        <v>34.218433309991205</v>
      </c>
      <c r="E13" s="5">
        <v>1.9990494229146201</v>
      </c>
      <c r="F13" s="5">
        <v>82.980487804878067</v>
      </c>
      <c r="G13" s="5">
        <v>0.26199524189874701</v>
      </c>
      <c r="H13" s="5">
        <f>IF(C13&gt;=$K$2,1,0)</f>
        <v>1</v>
      </c>
      <c r="I13" s="5" t="str">
        <f t="shared" si="0"/>
        <v>High GDP</v>
      </c>
      <c r="J13" s="5">
        <v>46256.43380560245</v>
      </c>
      <c r="N13" s="5" t="s">
        <v>57</v>
      </c>
      <c r="O13" s="5">
        <f>(B13-$B$41)/$B$42</f>
        <v>-7.5932560296023147E-2</v>
      </c>
      <c r="P13" s="5">
        <f>(C13-$C$41)/$C$42</f>
        <v>1.4539552457807121E-2</v>
      </c>
      <c r="Q13" s="5">
        <f>(D13-$D$41)/$D$42</f>
        <v>-7.3279094168134273E-2</v>
      </c>
      <c r="R13" s="5">
        <f>(E13-$E$41)/$E$42</f>
        <v>-5.1081564821296409E-2</v>
      </c>
      <c r="S13" s="5">
        <f>(F13-$F$41)/$F$42</f>
        <v>6.0980724175231501E-3</v>
      </c>
      <c r="T13" s="5">
        <f>(G13-$G$41)/$G$42</f>
        <v>2.2287143855195049E-2</v>
      </c>
      <c r="U13" s="5">
        <v>46256.43380560245</v>
      </c>
    </row>
    <row r="14" spans="1:21">
      <c r="A14" s="5" t="s">
        <v>92</v>
      </c>
      <c r="B14" s="5">
        <v>41.434059372090822</v>
      </c>
      <c r="C14" s="5">
        <v>56103.732318255446</v>
      </c>
      <c r="D14" s="5">
        <v>37.656671217402753</v>
      </c>
      <c r="E14" s="5">
        <v>2.2564981433876001</v>
      </c>
      <c r="F14" s="5">
        <v>80.792682926829272</v>
      </c>
      <c r="G14" s="5">
        <v>0.27495782918488099</v>
      </c>
      <c r="H14" s="5">
        <f>IF(C14&gt;=$K$2,1,0)</f>
        <v>1</v>
      </c>
      <c r="I14" s="5" t="str">
        <f t="shared" si="0"/>
        <v>High GDP</v>
      </c>
      <c r="J14" s="5">
        <v>56266.147187744347</v>
      </c>
      <c r="N14" s="5" t="s">
        <v>92</v>
      </c>
      <c r="O14" s="5">
        <f>(B14-$B$41)/$B$42</f>
        <v>-5.486606117034553E-2</v>
      </c>
      <c r="P14" s="5">
        <f>(C14-$C$41)/$C$42</f>
        <v>5.4551300904894302E-2</v>
      </c>
      <c r="Q14" s="5">
        <f>(D14-$D$41)/$D$42</f>
        <v>-6.3477165171345246E-2</v>
      </c>
      <c r="R14" s="5">
        <f>(E14-$E$41)/$E$42</f>
        <v>-3.5676759116847222E-2</v>
      </c>
      <c r="S14" s="5">
        <f>(F14-$F$41)/$F$42</f>
        <v>1.4227690844968071E-3</v>
      </c>
      <c r="T14" s="5">
        <f>(G14-$G$41)/$G$42</f>
        <v>3.0705743854437563E-2</v>
      </c>
      <c r="U14" s="5">
        <v>56266.147187744347</v>
      </c>
    </row>
    <row r="15" spans="1:21">
      <c r="A15" s="5" t="s">
        <v>45</v>
      </c>
      <c r="B15" s="5">
        <v>42.111678322050224</v>
      </c>
      <c r="C15" s="5">
        <v>24626.148185897262</v>
      </c>
      <c r="D15" s="5">
        <v>47.664849622566621</v>
      </c>
      <c r="E15" s="5">
        <v>2.741018756794773</v>
      </c>
      <c r="F15" s="5">
        <v>81.839024390243921</v>
      </c>
      <c r="G15" s="5">
        <v>-2.1304519939699899E-2</v>
      </c>
      <c r="H15" s="5">
        <f>IF(C15&gt;=$K$2,1,0)</f>
        <v>0</v>
      </c>
      <c r="I15" s="5" t="str">
        <f t="shared" si="0"/>
        <v>Low GDP</v>
      </c>
      <c r="J15" s="5">
        <v>24800.48345246898</v>
      </c>
      <c r="N15" s="5" t="s">
        <v>45</v>
      </c>
      <c r="O15" s="5">
        <f>(B15-$B$41)/$B$42</f>
        <v>-5.2973897643513443E-2</v>
      </c>
      <c r="P15" s="5">
        <f>(C15-$C$41)/$C$42</f>
        <v>-7.1387853110330121E-2</v>
      </c>
      <c r="Q15" s="5">
        <f>(D15-$D$41)/$D$42</f>
        <v>-3.4945266926855553E-2</v>
      </c>
      <c r="R15" s="5">
        <f>(E15-$E$41)/$E$42</f>
        <v>-6.6847878395170698E-3</v>
      </c>
      <c r="S15" s="5">
        <f>(F15-$F$41)/$F$42</f>
        <v>3.6587837220311624E-3</v>
      </c>
      <c r="T15" s="5">
        <f>(G15-$G$41)/$G$42</f>
        <v>-0.1617029286629483</v>
      </c>
      <c r="U15" s="5">
        <v>24800.48345246898</v>
      </c>
    </row>
    <row r="16" spans="1:21">
      <c r="A16" s="5" t="s">
        <v>61</v>
      </c>
      <c r="B16" s="5">
        <v>75.390890277712558</v>
      </c>
      <c r="C16" s="5">
        <v>23292.326388247828</v>
      </c>
      <c r="D16" s="5">
        <v>71.113671228188934</v>
      </c>
      <c r="E16" s="5">
        <v>3.7037037037036891</v>
      </c>
      <c r="F16" s="5">
        <v>76.724390243902462</v>
      </c>
      <c r="G16" s="5">
        <v>-0.31451007746408699</v>
      </c>
      <c r="H16" s="5">
        <f>IF(C16&gt;=$K$2,1,0)</f>
        <v>0</v>
      </c>
      <c r="I16" s="5" t="str">
        <f t="shared" si="0"/>
        <v>Low GDP</v>
      </c>
      <c r="J16" s="5">
        <v>23518.944533623871</v>
      </c>
      <c r="N16" s="5" t="s">
        <v>61</v>
      </c>
      <c r="O16" s="5">
        <f>(B16-$B$41)/$B$42</f>
        <v>3.9954009800620569E-2</v>
      </c>
      <c r="P16" s="5">
        <f>(C16-$C$41)/$C$42</f>
        <v>-7.6724361404508765E-2</v>
      </c>
      <c r="Q16" s="5">
        <f>(D16-$D$41)/$D$42</f>
        <v>3.1904000234449899E-2</v>
      </c>
      <c r="R16" s="5">
        <f>(E16-$E$41)/$E$42</f>
        <v>5.0918817781378911E-2</v>
      </c>
      <c r="S16" s="5">
        <f>(F16-$F$41)/$F$42</f>
        <v>-7.27110600969255E-3</v>
      </c>
      <c r="T16" s="5">
        <f>(G16-$G$41)/$G$42</f>
        <v>-0.35212635663038211</v>
      </c>
      <c r="U16" s="5">
        <v>23518.944533623871</v>
      </c>
    </row>
    <row r="17" spans="1:21">
      <c r="A17" s="5" t="s">
        <v>35</v>
      </c>
      <c r="B17" s="5">
        <v>42.451986287291319</v>
      </c>
      <c r="C17" s="5">
        <v>86040.530985128789</v>
      </c>
      <c r="D17" s="5">
        <v>43.515206980839018</v>
      </c>
      <c r="E17" s="5">
        <v>5.8568384997006557</v>
      </c>
      <c r="F17" s="5">
        <v>82.809756097560978</v>
      </c>
      <c r="G17" s="5">
        <v>0.21834607059254499</v>
      </c>
      <c r="H17" s="5">
        <f>IF(C17&gt;=$K$2,1,0)</f>
        <v>1</v>
      </c>
      <c r="I17" s="5" t="str">
        <f t="shared" si="0"/>
        <v>High GDP</v>
      </c>
      <c r="J17" s="5">
        <v>86215.383119064776</v>
      </c>
      <c r="N17" s="5" t="s">
        <v>35</v>
      </c>
      <c r="O17" s="5">
        <f>(B17-$B$41)/$B$42</f>
        <v>-5.2023631539299238E-2</v>
      </c>
      <c r="P17" s="5">
        <f>(C17-$C$41)/$C$42</f>
        <v>0.17432590248095486</v>
      </c>
      <c r="Q17" s="5">
        <f>(D17-$D$41)/$D$42</f>
        <v>-4.6775309998797455E-2</v>
      </c>
      <c r="R17" s="5">
        <f>(E17-$E$41)/$E$42</f>
        <v>0.17975466177736119</v>
      </c>
      <c r="S17" s="5">
        <f>(F17-$F$41)/$F$42</f>
        <v>5.7332215442657689E-3</v>
      </c>
      <c r="T17" s="5">
        <f>(G17-$G$41)/$G$42</f>
        <v>-6.0609710244944647E-3</v>
      </c>
      <c r="U17" s="5">
        <v>86215.383119064776</v>
      </c>
    </row>
    <row r="18" spans="1:21">
      <c r="A18" s="5" t="s">
        <v>11</v>
      </c>
      <c r="B18" s="5">
        <v>143.98460166103095</v>
      </c>
      <c r="C18" s="5">
        <v>112894.95324080539</v>
      </c>
      <c r="D18" s="5">
        <v>102.18527319637008</v>
      </c>
      <c r="E18" s="5">
        <v>2.1134499957731672</v>
      </c>
      <c r="F18" s="5">
        <v>83.009756097560995</v>
      </c>
      <c r="G18" s="5">
        <v>1.57375843711631</v>
      </c>
      <c r="H18" s="5">
        <f>IF(C18&gt;=$K$2,1,0)</f>
        <v>1</v>
      </c>
      <c r="I18" s="5" t="str">
        <f t="shared" si="0"/>
        <v>High GDP</v>
      </c>
      <c r="J18" s="5">
        <v>113227.82008019323</v>
      </c>
      <c r="N18" s="5" t="s">
        <v>11</v>
      </c>
      <c r="O18" s="5">
        <f>(B18-$B$41)/$B$42</f>
        <v>0.23149310246817079</v>
      </c>
      <c r="P18" s="5">
        <f>(C18-$C$41)/$C$42</f>
        <v>0.28176817652036851</v>
      </c>
      <c r="Q18" s="5">
        <f>(D18-$D$41)/$D$42</f>
        <v>0.12048473388644104</v>
      </c>
      <c r="R18" s="5">
        <f>(E18-$E$41)/$E$42</f>
        <v>-4.4236245900596771E-2</v>
      </c>
      <c r="S18" s="5">
        <f>(F18-$F$41)/$F$42</f>
        <v>6.1606182815101282E-3</v>
      </c>
      <c r="T18" s="5">
        <f>(G18-$G$41)/$G$42</f>
        <v>0.87421657665275143</v>
      </c>
      <c r="U18" s="5">
        <v>113227.82008019323</v>
      </c>
    </row>
    <row r="19" spans="1:21">
      <c r="A19" s="5" t="s">
        <v>15</v>
      </c>
      <c r="B19" s="5">
        <v>32.505041554007022</v>
      </c>
      <c r="C19" s="5">
        <v>40385.341395766904</v>
      </c>
      <c r="D19" s="5">
        <v>30.31872695794554</v>
      </c>
      <c r="E19" s="5">
        <v>0.98237302306141705</v>
      </c>
      <c r="F19" s="5">
        <v>83.951219512195138</v>
      </c>
      <c r="G19" s="5">
        <v>-5.3438737843772503E-2</v>
      </c>
      <c r="H19" s="5">
        <f>IF(C19&gt;=$K$2,1,0)</f>
        <v>1</v>
      </c>
      <c r="I19" s="5" t="str">
        <f t="shared" si="0"/>
        <v>High GDP</v>
      </c>
      <c r="J19" s="5">
        <v>40533.045318076271</v>
      </c>
      <c r="N19" s="5" t="s">
        <v>15</v>
      </c>
      <c r="O19" s="5">
        <f>(B19-$B$41)/$B$42</f>
        <v>-7.9799191872821043E-2</v>
      </c>
      <c r="P19" s="5">
        <f>(C19-$C$41)/$C$42</f>
        <v>-8.3366528508658187E-3</v>
      </c>
      <c r="Q19" s="5">
        <f>(D19-$D$41)/$D$42</f>
        <v>-8.439660429990288E-2</v>
      </c>
      <c r="R19" s="5">
        <f>(E19-$E$41)/$E$42</f>
        <v>-0.11191582484505605</v>
      </c>
      <c r="S19" s="5">
        <f>(F19-$F$41)/$F$42</f>
        <v>8.1725102397577874E-3</v>
      </c>
      <c r="T19" s="5">
        <f>(G19-$G$41)/$G$42</f>
        <v>-0.18257261469486138</v>
      </c>
      <c r="U19" s="5">
        <v>40533.045318076271</v>
      </c>
    </row>
    <row r="20" spans="1:21">
      <c r="A20" s="5" t="s">
        <v>58</v>
      </c>
      <c r="B20" s="5">
        <v>65.334130371427975</v>
      </c>
      <c r="C20" s="5">
        <v>23409.084515477498</v>
      </c>
      <c r="D20" s="5">
        <v>66.928377524497009</v>
      </c>
      <c r="E20" s="5">
        <v>1.265798858287287</v>
      </c>
      <c r="F20" s="5">
        <v>76.429268292682934</v>
      </c>
      <c r="G20" s="5">
        <v>-0.93796839712161995</v>
      </c>
      <c r="H20" s="5">
        <f>IF(C20&gt;=$K$2,1,0)</f>
        <v>0</v>
      </c>
      <c r="I20" s="5" t="str">
        <f t="shared" si="0"/>
        <v>Low GDP</v>
      </c>
      <c r="J20" s="5">
        <v>23618.104122127275</v>
      </c>
      <c r="N20" s="5" t="s">
        <v>58</v>
      </c>
      <c r="O20" s="5">
        <f>(B20-$B$41)/$B$42</f>
        <v>1.1871804759101224E-2</v>
      </c>
      <c r="P20" s="5">
        <f>(C20-$C$41)/$C$42</f>
        <v>-7.625722200442403E-2</v>
      </c>
      <c r="Q20" s="5">
        <f>(D20-$D$41)/$D$42</f>
        <v>1.9972321037421616E-2</v>
      </c>
      <c r="R20" s="5">
        <f>(E20-$E$41)/$E$42</f>
        <v>-9.4956642001752731E-2</v>
      </c>
      <c r="S20" s="5">
        <f>(F20-$F$41)/$F$42</f>
        <v>-7.9017768048945721E-3</v>
      </c>
      <c r="T20" s="5">
        <f>(G20-$G$41)/$G$42</f>
        <v>-0.75703365588622584</v>
      </c>
      <c r="U20" s="5">
        <v>23618.104122127275</v>
      </c>
    </row>
    <row r="21" spans="1:21">
      <c r="A21" s="5" t="s">
        <v>37</v>
      </c>
      <c r="B21" s="5">
        <v>74.113980754518366</v>
      </c>
      <c r="C21" s="5">
        <v>29384.018959866335</v>
      </c>
      <c r="D21" s="5">
        <v>68.934410108861286</v>
      </c>
      <c r="E21" s="5">
        <v>0.71573583522872319</v>
      </c>
      <c r="F21" s="5">
        <v>77.195121951219519</v>
      </c>
      <c r="G21" s="5">
        <v>0.57963346478516098</v>
      </c>
      <c r="H21" s="5">
        <f>IF(C21&gt;=$K$2,1,0)</f>
        <v>0</v>
      </c>
      <c r="I21" s="5" t="str">
        <f t="shared" si="0"/>
        <v>Low GDP</v>
      </c>
      <c r="J21" s="5">
        <v>29605.557841980946</v>
      </c>
      <c r="N21" s="5" t="s">
        <v>37</v>
      </c>
      <c r="O21" s="5">
        <f>(B21-$B$41)/$B$42</f>
        <v>3.6388404637132506E-2</v>
      </c>
      <c r="P21" s="5">
        <f>(C21-$C$41)/$C$42</f>
        <v>-5.2352014220411601E-2</v>
      </c>
      <c r="Q21" s="5">
        <f>(D21-$D$41)/$D$42</f>
        <v>2.5691235634575531E-2</v>
      </c>
      <c r="R21" s="5">
        <f>(E21-$E$41)/$E$42</f>
        <v>-0.1278704353966143</v>
      </c>
      <c r="S21" s="5">
        <f>(F21-$F$41)/$F$42</f>
        <v>-6.2651600305687512E-3</v>
      </c>
      <c r="T21" s="5">
        <f>(G21-$G$41)/$G$42</f>
        <v>0.22857845622393783</v>
      </c>
      <c r="U21" s="5">
        <v>29605.557841980946</v>
      </c>
    </row>
    <row r="22" spans="1:21">
      <c r="A22" s="5" t="s">
        <v>56</v>
      </c>
      <c r="B22" s="5">
        <v>191.53297018761137</v>
      </c>
      <c r="C22" s="5">
        <v>137781.68165912307</v>
      </c>
      <c r="D22" s="5">
        <v>159.73495096558054</v>
      </c>
      <c r="E22" s="5">
        <v>2.051132699548591</v>
      </c>
      <c r="F22" s="5">
        <v>83.195121951219519</v>
      </c>
      <c r="G22" s="5">
        <v>1.57538901671221</v>
      </c>
      <c r="H22" s="5">
        <f>IF(C22&gt;=$K$2,1,0)</f>
        <v>1</v>
      </c>
      <c r="I22" s="5" t="str">
        <f t="shared" si="0"/>
        <v>High GDP</v>
      </c>
      <c r="J22" s="5">
        <v>138219.77122394377</v>
      </c>
      <c r="N22" s="5" t="s">
        <v>56</v>
      </c>
      <c r="O22" s="5">
        <f>(B22-$B$41)/$B$42</f>
        <v>0.36426578937687737</v>
      </c>
      <c r="P22" s="5">
        <f>(C22-$C$41)/$C$42</f>
        <v>0.38133787380179607</v>
      </c>
      <c r="Q22" s="5">
        <f>(D22-$D$41)/$D$42</f>
        <v>0.28455070909598257</v>
      </c>
      <c r="R22" s="5">
        <f>(E22-$E$41)/$E$42</f>
        <v>-4.7965088827462102E-2</v>
      </c>
      <c r="S22" s="5">
        <f>(F22-$F$41)/$F$42</f>
        <v>6.5567420867609378E-3</v>
      </c>
      <c r="T22" s="5">
        <f>(G22-$G$41)/$G$42</f>
        <v>0.87527556256982153</v>
      </c>
      <c r="U22" s="5">
        <v>138219.77122394377</v>
      </c>
    </row>
    <row r="23" spans="1:21">
      <c r="A23" s="5" t="s">
        <v>48</v>
      </c>
      <c r="B23" s="5">
        <v>31.413547115249891</v>
      </c>
      <c r="C23" s="5">
        <v>7576.195894133255</v>
      </c>
      <c r="D23" s="5">
        <v>57.252568313433194</v>
      </c>
      <c r="E23" s="5">
        <v>4.6777351600705153</v>
      </c>
      <c r="F23" s="5">
        <v>71.331999999999994</v>
      </c>
      <c r="G23" s="5">
        <v>-2.2830614707263699</v>
      </c>
      <c r="H23" s="5">
        <f>IF(C23&gt;=$K$2,1,0)</f>
        <v>0</v>
      </c>
      <c r="I23" s="5" t="str">
        <f t="shared" si="0"/>
        <v>Low GDP</v>
      </c>
      <c r="J23" s="5">
        <v>7738.5886832512824</v>
      </c>
      <c r="N23" s="5" t="s">
        <v>48</v>
      </c>
      <c r="O23" s="5">
        <f>(B23-$B$41)/$B$42</f>
        <v>-8.2847049325567954E-2</v>
      </c>
      <c r="P23" s="5">
        <f>(C23-$C$41)/$C$42</f>
        <v>-0.13960327137736825</v>
      </c>
      <c r="Q23" s="5">
        <f>(D23-$D$41)/$D$42</f>
        <v>-7.6120397390336573E-3</v>
      </c>
      <c r="R23" s="5">
        <f>(E23-$E$41)/$E$42</f>
        <v>0.10920135772869795</v>
      </c>
      <c r="S23" s="5">
        <f>(F23-$F$41)/$F$42</f>
        <v>-1.8794555990652721E-2</v>
      </c>
      <c r="T23" s="5">
        <f>(G23-$G$41)/$G$42</f>
        <v>-1.6306093008150033</v>
      </c>
      <c r="U23" s="5">
        <v>7738.5886832512824</v>
      </c>
    </row>
    <row r="24" spans="1:21">
      <c r="A24" s="5" t="s">
        <v>54</v>
      </c>
      <c r="B24" s="5">
        <v>43.74708296343379</v>
      </c>
      <c r="C24" s="5">
        <v>13263.328127769921</v>
      </c>
      <c r="D24" s="5">
        <v>66.197021517541202</v>
      </c>
      <c r="E24" s="5">
        <v>3.3367500928228142</v>
      </c>
      <c r="F24" s="5">
        <v>77.890243902439039</v>
      </c>
      <c r="G24" s="5">
        <v>-6.4151191528509499E-4</v>
      </c>
      <c r="H24" s="5">
        <f>IF(C24&gt;=$K$2,1,0)</f>
        <v>0</v>
      </c>
      <c r="I24" s="5" t="str">
        <f t="shared" si="0"/>
        <v>Low GDP</v>
      </c>
      <c r="J24" s="5">
        <v>13454.498584734241</v>
      </c>
      <c r="N24" s="5" t="s">
        <v>54</v>
      </c>
      <c r="O24" s="5">
        <f>(B24-$B$41)/$B$42</f>
        <v>-4.840724109675764E-2</v>
      </c>
      <c r="P24" s="5">
        <f>(C24-$C$41)/$C$42</f>
        <v>-0.11684953591707141</v>
      </c>
      <c r="Q24" s="5">
        <f>(D24-$D$41)/$D$42</f>
        <v>1.7887328711526151E-2</v>
      </c>
      <c r="R24" s="5">
        <f>(E24-$E$41)/$E$42</f>
        <v>2.8961633190285906E-2</v>
      </c>
      <c r="S24" s="5">
        <f>(F24-$F$41)/$F$42</f>
        <v>-4.7796957608781006E-3</v>
      </c>
      <c r="T24" s="5">
        <f>(G24-$G$41)/$G$42</f>
        <v>-0.14828326208722048</v>
      </c>
      <c r="U24" s="5">
        <v>13454.498584734241</v>
      </c>
    </row>
    <row r="25" spans="1:21">
      <c r="A25" s="5" t="s">
        <v>89</v>
      </c>
      <c r="B25" s="5">
        <v>82.430360485327299</v>
      </c>
      <c r="C25" s="5">
        <v>67520.421895628111</v>
      </c>
      <c r="D25" s="5">
        <v>71.400291681032442</v>
      </c>
      <c r="E25" s="5">
        <v>3.34754304219953</v>
      </c>
      <c r="F25" s="5">
        <v>81.965853658536588</v>
      </c>
      <c r="G25" s="5">
        <v>0.64882328002165701</v>
      </c>
      <c r="H25" s="5">
        <f>IF(C25&gt;=$K$2,1,0)</f>
        <v>1</v>
      </c>
      <c r="I25" s="5" t="str">
        <f t="shared" si="0"/>
        <v>High GDP</v>
      </c>
      <c r="J25" s="5">
        <v>67760.214767775222</v>
      </c>
      <c r="N25" s="5" t="s">
        <v>89</v>
      </c>
      <c r="O25" s="5">
        <f>(B25-$B$41)/$B$42</f>
        <v>5.9610822491392768E-2</v>
      </c>
      <c r="P25" s="5">
        <f>(C25-$C$41)/$C$42</f>
        <v>0.10022851110574678</v>
      </c>
      <c r="Q25" s="5">
        <f>(D25-$D$41)/$D$42</f>
        <v>3.2721114524808775E-2</v>
      </c>
      <c r="R25" s="5">
        <f>(E25-$E$41)/$E$42</f>
        <v>2.9607444471929905E-2</v>
      </c>
      <c r="S25" s="5">
        <f>(F25-$F$41)/$F$42</f>
        <v>3.9298157993080162E-3</v>
      </c>
      <c r="T25" s="5">
        <f>(G25-$G$41)/$G$42</f>
        <v>0.27351403626208598</v>
      </c>
      <c r="U25" s="5">
        <v>67760.214767775222</v>
      </c>
    </row>
    <row r="26" spans="1:21">
      <c r="A26" s="5" t="s">
        <v>43</v>
      </c>
      <c r="B26" s="5">
        <v>61.679203747961672</v>
      </c>
      <c r="C26" s="5">
        <v>9291.85661671864</v>
      </c>
      <c r="D26" s="5">
        <v>74.645672427593908</v>
      </c>
      <c r="E26" s="5">
        <v>3.4897408602695368</v>
      </c>
      <c r="F26" s="5">
        <v>76.61658536585368</v>
      </c>
      <c r="G26" s="5">
        <v>-0.18931190495865199</v>
      </c>
      <c r="H26" s="5">
        <f>IF(C26&gt;=$K$2,1,0)</f>
        <v>0</v>
      </c>
      <c r="I26" s="5" t="str">
        <f t="shared" si="0"/>
        <v>Low GDP</v>
      </c>
      <c r="J26" s="5">
        <v>9508.0985072153599</v>
      </c>
      <c r="N26" s="5" t="s">
        <v>43</v>
      </c>
      <c r="O26" s="5">
        <f>(B26-$B$41)/$B$42</f>
        <v>1.6658935304013369E-3</v>
      </c>
      <c r="P26" s="5">
        <f>(C26-$C$41)/$C$42</f>
        <v>-0.13273905781285145</v>
      </c>
      <c r="Q26" s="5">
        <f>(D26-$D$41)/$D$42</f>
        <v>4.1973235088301232E-2</v>
      </c>
      <c r="R26" s="5">
        <f>(E26-$E$41)/$E$42</f>
        <v>3.8116050593337954E-2</v>
      </c>
      <c r="S26" s="5">
        <f>(F26-$F$41)/$F$42</f>
        <v>-7.5014832753779077E-3</v>
      </c>
      <c r="T26" s="5">
        <f>(G26-$G$41)/$G$42</f>
        <v>-0.27081594292255146</v>
      </c>
      <c r="U26" s="5">
        <v>9508.0985072153599</v>
      </c>
    </row>
    <row r="27" spans="1:21">
      <c r="A27" s="5" t="s">
        <v>66</v>
      </c>
      <c r="B27" s="5">
        <v>47.491709011612585</v>
      </c>
      <c r="C27" s="5">
        <v>86785.433448917611</v>
      </c>
      <c r="D27" s="5">
        <v>33.87180017111168</v>
      </c>
      <c r="E27" s="5">
        <v>3.1453013443108051</v>
      </c>
      <c r="F27" s="5">
        <v>83.160975609756093</v>
      </c>
      <c r="G27" s="5">
        <v>0.94985513837235702</v>
      </c>
      <c r="H27" s="5">
        <f>IF(C27&gt;=$K$2,1,0)</f>
        <v>1</v>
      </c>
      <c r="I27" s="5" t="str">
        <f t="shared" si="0"/>
        <v>High GDP</v>
      </c>
      <c r="J27" s="5">
        <v>86954.05309019277</v>
      </c>
      <c r="N27" s="5" t="s">
        <v>66</v>
      </c>
      <c r="O27" s="5">
        <f>(B27-$B$41)/$B$42</f>
        <v>-3.7950855792872926E-2</v>
      </c>
      <c r="P27" s="5">
        <f>(C27-$C$41)/$C$42</f>
        <v>0.17730619428857752</v>
      </c>
      <c r="Q27" s="5">
        <f>(D27-$D$41)/$D$42</f>
        <v>-7.4267296121206555E-2</v>
      </c>
      <c r="R27" s="5">
        <f>(E27-$E$41)/$E$42</f>
        <v>1.7506028486680533E-2</v>
      </c>
      <c r="S27" s="5">
        <f>(F27-$F$41)/$F$42</f>
        <v>6.4837719121094437E-3</v>
      </c>
      <c r="T27" s="5">
        <f>(G27-$G$41)/$G$42</f>
        <v>0.46902028409226026</v>
      </c>
      <c r="U27" s="5">
        <v>86954.05309019277</v>
      </c>
    </row>
    <row r="28" spans="1:21">
      <c r="A28" s="5" t="s">
        <v>87</v>
      </c>
      <c r="B28" s="5">
        <v>52.179813391901099</v>
      </c>
      <c r="C28" s="5">
        <v>25103.56566142297</v>
      </c>
      <c r="D28" s="5">
        <v>48.179629455262884</v>
      </c>
      <c r="E28" s="5">
        <v>3.7906089763019661</v>
      </c>
      <c r="F28" s="5">
        <v>78.409756097560987</v>
      </c>
      <c r="G28" s="5">
        <v>-0.349832361234927</v>
      </c>
      <c r="H28" s="5">
        <f>IF(C28&gt;=$K$2,1,0)</f>
        <v>0</v>
      </c>
      <c r="I28" s="5" t="str">
        <f t="shared" si="0"/>
        <v>Low GDP</v>
      </c>
      <c r="J28" s="5">
        <v>25285.775636982758</v>
      </c>
      <c r="N28" s="5" t="s">
        <v>87</v>
      </c>
      <c r="O28" s="5">
        <f>(B28-$B$41)/$B$42</f>
        <v>-2.4859928924763443E-2</v>
      </c>
      <c r="P28" s="5">
        <f>(C28-$C$41)/$C$42</f>
        <v>-6.9477746136206137E-2</v>
      </c>
      <c r="Q28" s="5">
        <f>(D28-$D$41)/$D$42</f>
        <v>-3.3477702579958329E-2</v>
      </c>
      <c r="R28" s="5">
        <f>(E28-$E$41)/$E$42</f>
        <v>5.6118916801522055E-2</v>
      </c>
      <c r="S28" s="5">
        <f>(F28-$F$41)/$F$42</f>
        <v>-3.6695066751093182E-3</v>
      </c>
      <c r="T28" s="5">
        <f>(G28-$G$41)/$G$42</f>
        <v>-0.37506654376760018</v>
      </c>
      <c r="U28" s="5">
        <v>25285.775636982758</v>
      </c>
    </row>
    <row r="29" spans="1:21">
      <c r="A29" s="5" t="s">
        <v>14</v>
      </c>
      <c r="B29" s="5">
        <v>45.771725043315008</v>
      </c>
      <c r="C29" s="5">
        <v>29292.242104753037</v>
      </c>
      <c r="D29" s="5">
        <v>43.924683810710995</v>
      </c>
      <c r="E29" s="5">
        <v>2.416131877918839</v>
      </c>
      <c r="F29" s="5">
        <v>82.3829268292683</v>
      </c>
      <c r="G29" s="5">
        <v>1.09536933248007</v>
      </c>
      <c r="H29" s="5">
        <f>IF(C29&gt;=$K$2,1,0)</f>
        <v>0</v>
      </c>
      <c r="I29" s="5" t="str">
        <f t="shared" si="0"/>
        <v>Low GDP</v>
      </c>
      <c r="J29" s="5">
        <v>29467.832941646731</v>
      </c>
      <c r="N29" s="5" t="s">
        <v>14</v>
      </c>
      <c r="O29" s="5">
        <f>(B29-$B$41)/$B$42</f>
        <v>-4.2753689202038321E-2</v>
      </c>
      <c r="P29" s="5">
        <f>(C29-$C$41)/$C$42</f>
        <v>-5.2719205661868662E-2</v>
      </c>
      <c r="Q29" s="5">
        <f>(D29-$D$41)/$D$42</f>
        <v>-4.5607949589099389E-2</v>
      </c>
      <c r="R29" s="5">
        <f>(E29-$E$41)/$E$42</f>
        <v>-2.6124850450097999E-2</v>
      </c>
      <c r="S29" s="5">
        <f>(F29-$F$41)/$F$42</f>
        <v>4.821094361122406E-3</v>
      </c>
      <c r="T29" s="5">
        <f>(G29-$G$41)/$G$42</f>
        <v>0.56352501276748179</v>
      </c>
      <c r="U29" s="5">
        <v>29467.832941646731</v>
      </c>
    </row>
    <row r="30" spans="1:21">
      <c r="A30" s="5" t="s">
        <v>47</v>
      </c>
      <c r="B30" s="5">
        <v>35.603026699946504</v>
      </c>
      <c r="C30" s="5">
        <v>20080.209621559497</v>
      </c>
      <c r="D30" s="5">
        <v>41.61195709395377</v>
      </c>
      <c r="E30" s="5">
        <v>5.7214057435443859</v>
      </c>
      <c r="F30" s="5">
        <v>76.458536585365863</v>
      </c>
      <c r="G30" s="5">
        <v>-4.8582020476197703E-2</v>
      </c>
      <c r="H30" s="5">
        <f>IF(C30&gt;=$K$2,1,0)</f>
        <v>0</v>
      </c>
      <c r="I30" s="5" t="str">
        <f t="shared" si="0"/>
        <v>Low GDP</v>
      </c>
      <c r="J30" s="5">
        <v>20239.555965661835</v>
      </c>
      <c r="N30" s="5" t="s">
        <v>47</v>
      </c>
      <c r="O30" s="5">
        <f>(B30-$B$41)/$B$42</f>
        <v>-7.1148467892676343E-2</v>
      </c>
      <c r="P30" s="5">
        <f>(C30-$C$41)/$C$42</f>
        <v>-8.9575769139418074E-2</v>
      </c>
      <c r="Q30" s="5">
        <f>(D30-$D$41)/$D$42</f>
        <v>-5.2201205692106421E-2</v>
      </c>
      <c r="R30" s="5">
        <f>(E30-$E$41)/$E$42</f>
        <v>0.17165085263520488</v>
      </c>
      <c r="S30" s="5">
        <f>(F30-$F$41)/$F$42</f>
        <v>-7.839230940907594E-3</v>
      </c>
      <c r="T30" s="5">
        <f>(G30-$G$41)/$G$42</f>
        <v>-0.17941840173378668</v>
      </c>
      <c r="U30" s="5">
        <v>20239.555965661835</v>
      </c>
    </row>
    <row r="31" spans="1:21">
      <c r="A31" s="5" t="s">
        <v>23</v>
      </c>
      <c r="B31" s="5">
        <v>53.583766709022605</v>
      </c>
      <c r="C31" s="5">
        <v>13679.206598355697</v>
      </c>
      <c r="D31" s="5">
        <v>58.14126167989366</v>
      </c>
      <c r="E31" s="5">
        <v>4.6705297488997006</v>
      </c>
      <c r="F31" s="5">
        <v>75.968292682926844</v>
      </c>
      <c r="G31" s="5">
        <v>-0.55576142398442496</v>
      </c>
      <c r="H31" s="5">
        <f>IF(C31&gt;=$K$2,1,0)</f>
        <v>0</v>
      </c>
      <c r="I31" s="5" t="str">
        <f t="shared" si="0"/>
        <v>Low GDP</v>
      </c>
      <c r="J31" s="5">
        <v>13871.014687752453</v>
      </c>
      <c r="N31" s="5" t="s">
        <v>23</v>
      </c>
      <c r="O31" s="5">
        <f>(B31-$B$41)/$B$42</f>
        <v>-2.0939570351274028E-2</v>
      </c>
      <c r="P31" s="5">
        <f>(C31-$C$41)/$C$42</f>
        <v>-0.11518564130119213</v>
      </c>
      <c r="Q31" s="5">
        <f>(D31-$D$41)/$D$42</f>
        <v>-5.0785008995061628E-3</v>
      </c>
      <c r="R31" s="5">
        <f>(E31-$E$41)/$E$42</f>
        <v>0.10877021183330121</v>
      </c>
      <c r="S31" s="5">
        <f>(F31-$F$41)/$F$42</f>
        <v>-8.8868741626893996E-3</v>
      </c>
      <c r="T31" s="5">
        <f>(G31-$G$41)/$G$42</f>
        <v>-0.50880793113410194</v>
      </c>
      <c r="U31" s="5">
        <v>13871.014687752453</v>
      </c>
    </row>
    <row r="32" spans="1:21">
      <c r="A32" s="5" t="s">
        <v>20</v>
      </c>
      <c r="B32" s="5">
        <v>85.483498956127875</v>
      </c>
      <c r="C32" s="5">
        <v>25992.674850204778</v>
      </c>
      <c r="D32" s="5">
        <v>85.729301195506991</v>
      </c>
      <c r="E32" s="5">
        <v>2.7576090942427181</v>
      </c>
      <c r="F32" s="5">
        <v>78.370731707317091</v>
      </c>
      <c r="G32" s="5">
        <v>-8.6110840160076904E-2</v>
      </c>
      <c r="H32" s="5">
        <f>IF(C32&gt;=$K$2,1,0)</f>
        <v>0</v>
      </c>
      <c r="I32" s="5" t="str">
        <f t="shared" si="0"/>
        <v>Low GDP</v>
      </c>
      <c r="J32" s="5">
        <v>26244.929880317814</v>
      </c>
      <c r="N32" s="5" t="s">
        <v>20</v>
      </c>
      <c r="O32" s="5">
        <f>(B32-$B$41)/$B$42</f>
        <v>6.8136317914982772E-2</v>
      </c>
      <c r="P32" s="5">
        <f>(C32-$C$41)/$C$42</f>
        <v>-6.592049540846566E-2</v>
      </c>
      <c r="Q32" s="5">
        <f>(D32-$D$41)/$D$42</f>
        <v>7.3571089900983988E-2</v>
      </c>
      <c r="R32" s="5">
        <f>(E32-$E$41)/$E$42</f>
        <v>-5.6920817018158987E-3</v>
      </c>
      <c r="S32" s="5">
        <f>(F32-$F$41)/$F$42</f>
        <v>-3.7529011604252684E-3</v>
      </c>
      <c r="T32" s="5">
        <f>(G32-$G$41)/$G$42</f>
        <v>-0.2037916317370467</v>
      </c>
      <c r="U32" s="5">
        <v>26244.929880317814</v>
      </c>
    </row>
    <row r="33" spans="1:21">
      <c r="A33" s="5" t="s">
        <v>55</v>
      </c>
      <c r="B33" s="5">
        <v>80.917389492035696</v>
      </c>
      <c r="C33" s="5">
        <v>34301.031868659353</v>
      </c>
      <c r="D33" s="5">
        <v>74.740539192438021</v>
      </c>
      <c r="E33" s="5">
        <v>1.9656265643251249</v>
      </c>
      <c r="F33" s="5">
        <v>82.285365853658547</v>
      </c>
      <c r="G33" s="5">
        <v>0.32670589607575401</v>
      </c>
      <c r="H33" s="5">
        <f>IF(C33&gt;=$K$2,1,0)</f>
        <v>1</v>
      </c>
      <c r="I33" s="5" t="str">
        <f t="shared" si="0"/>
        <v>High GDP</v>
      </c>
      <c r="J33" s="5">
        <v>34541.267495657892</v>
      </c>
      <c r="N33" s="5" t="s">
        <v>55</v>
      </c>
      <c r="O33" s="5">
        <f>(B33-$B$41)/$B$42</f>
        <v>5.5386046116952824E-2</v>
      </c>
      <c r="P33" s="5">
        <f>(C33-$C$41)/$C$42</f>
        <v>-3.2679461097798783E-2</v>
      </c>
      <c r="Q33" s="5">
        <f>(D33-$D$41)/$D$42</f>
        <v>4.2243686790073412E-2</v>
      </c>
      <c r="R33" s="5">
        <f>(E33-$E$41)/$E$42</f>
        <v>-5.308146849808508E-2</v>
      </c>
      <c r="S33" s="5">
        <f>(F33-$F$41)/$F$42</f>
        <v>4.6126081478325004E-3</v>
      </c>
      <c r="T33" s="5">
        <f>(G33-$G$41)/$G$42</f>
        <v>6.4313716265494272E-2</v>
      </c>
      <c r="U33" s="5">
        <v>34541.267495657892</v>
      </c>
    </row>
    <row r="34" spans="1:21">
      <c r="A34" s="5" t="s">
        <v>64</v>
      </c>
      <c r="B34" s="5">
        <v>37.055879272170756</v>
      </c>
      <c r="C34" s="5">
        <v>35326.768306927806</v>
      </c>
      <c r="D34" s="5">
        <v>32.89438196609234</v>
      </c>
      <c r="E34" s="5">
        <v>2.7741782653477198</v>
      </c>
      <c r="F34" s="5">
        <v>83.887804878048797</v>
      </c>
      <c r="G34" s="5">
        <v>1.0212126093838101</v>
      </c>
      <c r="H34" s="5">
        <f>IF(C34&gt;=$K$2,1,0)</f>
        <v>1</v>
      </c>
      <c r="I34" s="5" t="str">
        <f t="shared" si="0"/>
        <v>High GDP</v>
      </c>
      <c r="J34" s="5">
        <v>35484.401763918846</v>
      </c>
      <c r="N34" s="5" t="s">
        <v>64</v>
      </c>
      <c r="O34" s="5">
        <f>(B34-$B$41)/$B$42</f>
        <v>-6.709156445573497E-2</v>
      </c>
      <c r="P34" s="5">
        <f>(C34-$C$41)/$C$42</f>
        <v>-2.8575576290917299E-2</v>
      </c>
      <c r="Q34" s="5">
        <f>(D34-$D$41)/$D$42</f>
        <v>-7.7053776901118962E-2</v>
      </c>
      <c r="R34" s="5">
        <f>(E34-$E$41)/$E$42</f>
        <v>-4.7006420819669641E-3</v>
      </c>
      <c r="S34" s="5">
        <f>(F34-$F$41)/$F$42</f>
        <v>8.0369942011193456E-3</v>
      </c>
      <c r="T34" s="5">
        <f>(G34-$G$41)/$G$42</f>
        <v>0.51536365614774216</v>
      </c>
      <c r="U34" s="5">
        <v>35484.401763918846</v>
      </c>
    </row>
    <row r="35" spans="1:21">
      <c r="A35" s="5" t="s">
        <v>83</v>
      </c>
      <c r="B35" s="5">
        <v>54.309580972447122</v>
      </c>
      <c r="C35" s="5">
        <v>57117.487744061626</v>
      </c>
      <c r="D35" s="5">
        <v>51.573510508017208</v>
      </c>
      <c r="E35" s="5">
        <v>2.8358165822403398</v>
      </c>
      <c r="F35" s="5">
        <v>84.063414634146341</v>
      </c>
      <c r="G35" s="5">
        <v>0.31343212998360698</v>
      </c>
      <c r="H35" s="5">
        <f>IF(C35&gt;=$K$2,1,0)</f>
        <v>1</v>
      </c>
      <c r="I35" s="5" t="str">
        <f t="shared" si="0"/>
        <v>High GDP</v>
      </c>
      <c r="J35" s="5">
        <v>57310.58349888846</v>
      </c>
      <c r="N35" s="5" t="s">
        <v>83</v>
      </c>
      <c r="O35" s="5">
        <f>(B35-$B$41)/$B$42</f>
        <v>-1.8912827627227353E-2</v>
      </c>
      <c r="P35" s="5">
        <f>(C35-$C$41)/$C$42</f>
        <v>5.8607250693402078E-2</v>
      </c>
      <c r="Q35" s="5">
        <f>(D35-$D$41)/$D$42</f>
        <v>-2.380222868941247E-2</v>
      </c>
      <c r="R35" s="5">
        <f>(E35-$E$41)/$E$42</f>
        <v>-1.0124268368663977E-3</v>
      </c>
      <c r="S35" s="5">
        <f>(F35-$F$41)/$F$42</f>
        <v>8.4122693850411517E-3</v>
      </c>
      <c r="T35" s="5">
        <f>(G35-$G$41)/$G$42</f>
        <v>5.5693020045934072E-2</v>
      </c>
      <c r="U35" s="5">
        <v>57310.58349888846</v>
      </c>
    </row>
    <row r="36" spans="1:21">
      <c r="A36" s="5" t="s">
        <v>36</v>
      </c>
      <c r="B36" s="5">
        <v>72.15894476679054</v>
      </c>
      <c r="C36" s="5">
        <v>103998.18668560409</v>
      </c>
      <c r="D36" s="5">
        <v>61.936203753819221</v>
      </c>
      <c r="E36" s="5">
        <v>1.0623404197659401</v>
      </c>
      <c r="F36" s="5">
        <v>84.407317073170745</v>
      </c>
      <c r="G36" s="5">
        <v>1.30500749907811</v>
      </c>
      <c r="H36" s="5">
        <f>IF(C36&gt;=$K$2,1,0)</f>
        <v>1</v>
      </c>
      <c r="I36" s="5" t="str">
        <f t="shared" si="0"/>
        <v>High GDP</v>
      </c>
      <c r="J36" s="5">
        <v>104219.05649911672</v>
      </c>
      <c r="N36" s="5" t="s">
        <v>36</v>
      </c>
      <c r="O36" s="5">
        <f>(B36-$B$41)/$B$42</f>
        <v>3.0929218777816788E-2</v>
      </c>
      <c r="P36" s="5">
        <f>(C36-$C$41)/$C$42</f>
        <v>0.24617296537831648</v>
      </c>
      <c r="Q36" s="5">
        <f>(D36-$D$41)/$D$42</f>
        <v>5.7403411228452517E-3</v>
      </c>
      <c r="R36" s="5">
        <f>(E36-$E$41)/$E$42</f>
        <v>-0.10713086337132803</v>
      </c>
      <c r="S36" s="5">
        <f>(F36-$F$41)/$F$42</f>
        <v>9.1471832868881275E-3</v>
      </c>
      <c r="T36" s="5">
        <f>(G36-$G$41)/$G$42</f>
        <v>0.69967529127332651</v>
      </c>
      <c r="U36" s="5">
        <v>104219.05649911672</v>
      </c>
    </row>
    <row r="37" spans="1:21">
      <c r="A37" s="5" t="s">
        <v>81</v>
      </c>
      <c r="B37" s="5">
        <v>29.410213981324929</v>
      </c>
      <c r="C37" s="5">
        <v>5389.47314453125</v>
      </c>
      <c r="D37" s="5">
        <v>48.342797348726457</v>
      </c>
      <c r="E37" s="5">
        <v>6.5019846466925397</v>
      </c>
      <c r="F37" s="5">
        <v>74.691999999999993</v>
      </c>
      <c r="G37" s="5">
        <v>0.33702862573393999</v>
      </c>
      <c r="H37" s="5">
        <f>IF(C37&gt;=$K$2,1,0)</f>
        <v>0</v>
      </c>
      <c r="I37" s="5" t="str">
        <f t="shared" si="0"/>
        <v>Low GDP</v>
      </c>
      <c r="J37" s="5">
        <v>5548.757169133728</v>
      </c>
      <c r="N37" s="5" t="s">
        <v>81</v>
      </c>
      <c r="O37" s="5">
        <f>(B37-$B$41)/$B$42</f>
        <v>-8.8441098736869311E-2</v>
      </c>
      <c r="P37" s="5">
        <f>(C37-$C$41)/$C$42</f>
        <v>-0.14835216430360854</v>
      </c>
      <c r="Q37" s="5">
        <f>(D37-$D$41)/$D$42</f>
        <v>-3.3012534040329951E-2</v>
      </c>
      <c r="R37" s="5">
        <f>(E37-$E$41)/$E$42</f>
        <v>0.21835788741051032</v>
      </c>
      <c r="S37" s="5">
        <f>(F37-$F$41)/$F$42</f>
        <v>-1.1614290804948095E-2</v>
      </c>
      <c r="T37" s="5">
        <f>(G37-$G$41)/$G$42</f>
        <v>7.1017851016860215E-2</v>
      </c>
      <c r="U37" s="5">
        <v>5548.757169133728</v>
      </c>
    </row>
    <row r="38" spans="1:21">
      <c r="A38" s="5" t="s">
        <v>6</v>
      </c>
      <c r="B38" s="5">
        <v>30.984158840168845</v>
      </c>
      <c r="C38" s="5">
        <v>53246.367614510847</v>
      </c>
      <c r="D38" s="5">
        <v>31.856001686542957</v>
      </c>
      <c r="E38" s="5">
        <v>3.2715729463592012</v>
      </c>
      <c r="F38" s="5">
        <v>81.386853658536594</v>
      </c>
      <c r="G38" s="5">
        <v>1.0659564474212</v>
      </c>
      <c r="H38" s="5">
        <f>IF(C38&gt;=$K$2,1,0)</f>
        <v>1</v>
      </c>
      <c r="I38" s="5" t="str">
        <f t="shared" si="0"/>
        <v>High GDP</v>
      </c>
      <c r="J38" s="5">
        <v>53394.932158089876</v>
      </c>
      <c r="N38" s="5" t="s">
        <v>6</v>
      </c>
      <c r="O38" s="5">
        <f>(B38-$B$41)/$B$42</f>
        <v>-8.4046060706531214E-2</v>
      </c>
      <c r="P38" s="5">
        <f>(C38-$C$41)/$C$42</f>
        <v>4.3119226194540783E-2</v>
      </c>
      <c r="Q38" s="5">
        <f>(D38-$D$41)/$D$42</f>
        <v>-8.0014051915791085E-2</v>
      </c>
      <c r="R38" s="5">
        <f>(E38-$E$41)/$E$42</f>
        <v>2.5061667108505502E-2</v>
      </c>
      <c r="S38" s="5">
        <f>(F38-$F$41)/$F$42</f>
        <v>2.6925022449857151E-3</v>
      </c>
      <c r="T38" s="5">
        <f>(G38-$G$41)/$G$42</f>
        <v>0.54442270636301915</v>
      </c>
      <c r="U38" s="5">
        <v>53394.932158089876</v>
      </c>
    </row>
    <row r="39" spans="1:21">
      <c r="A39" s="7" t="s">
        <v>98</v>
      </c>
      <c r="B39" s="5">
        <v>2260.056802802465</v>
      </c>
      <c r="C39" s="5">
        <v>1571354.0252252775</v>
      </c>
      <c r="D39" s="5">
        <v>2217.1382480851139</v>
      </c>
      <c r="E39" s="5">
        <v>105.551250375346</v>
      </c>
      <c r="F39" s="5">
        <v>2964.695268292684</v>
      </c>
      <c r="G39" s="5">
        <v>8.4241039538788698</v>
      </c>
      <c r="H39" s="5">
        <f>IF(C39&gt;=$K$2,1,0)</f>
        <v>1</v>
      </c>
      <c r="I39" s="5" t="str">
        <f t="shared" si="0"/>
        <v>High GDP</v>
      </c>
      <c r="J39" s="5">
        <v>1578909.890898787</v>
      </c>
      <c r="N39" s="7" t="s">
        <v>98</v>
      </c>
      <c r="O39" s="5">
        <v>2260.056802802465</v>
      </c>
      <c r="P39" s="5">
        <v>1571354.0252252775</v>
      </c>
      <c r="Q39" s="5">
        <v>2217.1382480851139</v>
      </c>
      <c r="R39" s="5">
        <v>105.55125037534634</v>
      </c>
      <c r="S39" s="5">
        <v>2964.695268292684</v>
      </c>
      <c r="T39" s="5">
        <v>8.4241039538788698</v>
      </c>
      <c r="U39" s="5">
        <v>1578909.890898787</v>
      </c>
    </row>
    <row r="41" spans="1:21">
      <c r="A41" s="5" t="s">
        <v>99</v>
      </c>
      <c r="B41" s="5">
        <f>AVERAGE(B2:B38)</f>
        <v>61.082616291958516</v>
      </c>
      <c r="C41" s="5">
        <f t="shared" ref="C41:J41" si="1">AVERAGE(C2:C38)</f>
        <v>42469.027708791284</v>
      </c>
      <c r="D41" s="5">
        <f t="shared" si="1"/>
        <v>59.922655353651727</v>
      </c>
      <c r="E41" s="5">
        <f t="shared" si="1"/>
        <v>2.8527364966309823</v>
      </c>
      <c r="F41" s="5">
        <f t="shared" si="1"/>
        <v>80.126899143045506</v>
      </c>
      <c r="G41" s="5">
        <f t="shared" si="1"/>
        <v>0.22767848523996945</v>
      </c>
      <c r="H41" s="5"/>
      <c r="I41" s="5"/>
      <c r="J41" s="5">
        <f t="shared" si="1"/>
        <v>42673.240294561809</v>
      </c>
    </row>
    <row r="42" spans="1:21">
      <c r="A42" s="5" t="s">
        <v>100</v>
      </c>
      <c r="B42" s="5">
        <f>_xlfn.STDEV.S(B2:B39)</f>
        <v>358.11859828726892</v>
      </c>
      <c r="C42" s="5">
        <f t="shared" ref="C42:J42" si="2">_xlfn.STDEV.S(C2:C39)</f>
        <v>249942.79482418112</v>
      </c>
      <c r="D42" s="5">
        <f t="shared" si="2"/>
        <v>350.77155818389076</v>
      </c>
      <c r="E42" s="5">
        <f t="shared" si="2"/>
        <v>16.712234182780001</v>
      </c>
      <c r="F42" s="5">
        <f t="shared" si="2"/>
        <v>467.94929060412841</v>
      </c>
      <c r="G42" s="5">
        <f t="shared" si="2"/>
        <v>1.5397556942128525</v>
      </c>
      <c r="H42" s="5"/>
      <c r="I42" s="5"/>
      <c r="J42" s="5">
        <f t="shared" si="2"/>
        <v>251130.131554174</v>
      </c>
    </row>
    <row r="45" spans="1:21">
      <c r="A45" s="13" t="s">
        <v>104</v>
      </c>
      <c r="B45" s="14" t="s">
        <v>105</v>
      </c>
      <c r="C45" s="17" t="s">
        <v>110</v>
      </c>
      <c r="D45" s="14" t="s">
        <v>106</v>
      </c>
      <c r="E45" s="14" t="s">
        <v>107</v>
      </c>
      <c r="F45" s="14" t="s">
        <v>108</v>
      </c>
      <c r="G45" s="14" t="s">
        <v>109</v>
      </c>
    </row>
    <row r="46" spans="1:21">
      <c r="A46" s="15" t="s">
        <v>111</v>
      </c>
      <c r="B46" s="5">
        <f>AVERAGE(B2:B38)</f>
        <v>61.082616291958516</v>
      </c>
      <c r="C46" s="5">
        <f>AVERAGE(C2:C38)</f>
        <v>42469.027708791284</v>
      </c>
      <c r="D46" s="5">
        <f>AVERAGE(D2:D38)</f>
        <v>59.922655353651727</v>
      </c>
      <c r="E46" s="5">
        <f>AVERAGE(E2:E38)</f>
        <v>2.8527364966309823</v>
      </c>
      <c r="F46" s="5">
        <f>AVERAGE(F2:F38)</f>
        <v>80.126899143045506</v>
      </c>
      <c r="G46" s="5">
        <f>AVERAGE(G2:G38)</f>
        <v>0.22767848523996945</v>
      </c>
    </row>
    <row r="47" spans="1:21">
      <c r="A47" s="15" t="s">
        <v>112</v>
      </c>
      <c r="B47" s="16">
        <f>MEDIAN(B2:B38)</f>
        <v>53.583766709022605</v>
      </c>
      <c r="C47" s="16">
        <f>MEDIAN(C2:C38)</f>
        <v>31823.307829056383</v>
      </c>
      <c r="D47" s="16">
        <f>MEDIAN(D2:D38)</f>
        <v>54.771236878264261</v>
      </c>
      <c r="E47" s="16">
        <f>MEDIAN(E2:E38)</f>
        <v>2.7576090942427181</v>
      </c>
      <c r="F47" s="16">
        <f>MEDIAN(F2:F38)</f>
        <v>81.386853658536594</v>
      </c>
      <c r="G47" s="16">
        <f>MEDIAN(G2:G38)</f>
        <v>0.27495782918488099</v>
      </c>
    </row>
    <row r="48" spans="1:21">
      <c r="A48" s="15" t="s">
        <v>113</v>
      </c>
      <c r="B48" s="16">
        <f>MIN(B2:B38)</f>
        <v>29.410213981324929</v>
      </c>
      <c r="C48" s="16">
        <f>MIN(C2:C38)</f>
        <v>5389.47314453125</v>
      </c>
      <c r="D48" s="16">
        <f>MIN(D2:D38)</f>
        <v>30.31872695794554</v>
      </c>
      <c r="E48" s="16">
        <f>MIN(E2:E38)</f>
        <v>0.71573583522872319</v>
      </c>
      <c r="F48" s="16">
        <f>MIN(F2:F38)</f>
        <v>71.331999999999994</v>
      </c>
      <c r="G48" s="16">
        <f>MIN(G2:G38)</f>
        <v>-2.2830614707263699</v>
      </c>
    </row>
    <row r="49" spans="1:7">
      <c r="A49" s="15" t="s">
        <v>114</v>
      </c>
      <c r="B49" s="5">
        <f>MAX(B2:B38)</f>
        <v>191.53297018761137</v>
      </c>
      <c r="C49" s="5">
        <f>MAX(C2:C38)</f>
        <v>137781.68165912307</v>
      </c>
      <c r="D49" s="5">
        <f>MAX(D2:D38)</f>
        <v>159.73495096558054</v>
      </c>
      <c r="E49" s="5">
        <f>MAX(E2:E38)</f>
        <v>6.5019846466925397</v>
      </c>
      <c r="F49" s="5">
        <f>MAX(F2:F38)</f>
        <v>84.407317073170745</v>
      </c>
      <c r="G49" s="5">
        <f>MAX(G2:G38)</f>
        <v>1.57538901671221</v>
      </c>
    </row>
    <row r="50" spans="1:7">
      <c r="A50" s="15" t="s">
        <v>115</v>
      </c>
      <c r="B50" s="16">
        <f>_xlfn.STDEV.S(B2:B38)</f>
        <v>32.047111003779222</v>
      </c>
      <c r="C50" s="16">
        <f>_xlfn.STDEV.S(C2:C38)</f>
        <v>31387.084635864263</v>
      </c>
      <c r="D50" s="16">
        <f>_xlfn.STDEV.S(D2:D38)</f>
        <v>24.374894794527023</v>
      </c>
      <c r="E50" s="16">
        <f>_xlfn.STDEV.S(E2:E38)</f>
        <v>1.3397970255243157</v>
      </c>
      <c r="F50" s="16">
        <f>_xlfn.STDEV.S(F2:F38)</f>
        <v>3.1795922817399749</v>
      </c>
      <c r="G50" s="16">
        <f>_xlfn.STDEV.S(G2:G38)</f>
        <v>0.78718736273649625</v>
      </c>
    </row>
    <row r="53" spans="1:7">
      <c r="B53" s="13" t="s">
        <v>101</v>
      </c>
      <c r="C53" s="14" t="s">
        <v>116</v>
      </c>
    </row>
    <row r="54" spans="1:7">
      <c r="B54" s="15" t="s">
        <v>117</v>
      </c>
      <c r="C54" s="18">
        <f>COUNTIF(I2:I38,"High GDP")</f>
        <v>19</v>
      </c>
    </row>
    <row r="55" spans="1:7">
      <c r="B55" s="15" t="s">
        <v>118</v>
      </c>
      <c r="C55" s="18">
        <f>COUNTIF(I2:I38,"Low GDP")</f>
        <v>18</v>
      </c>
    </row>
    <row r="57" spans="1:7">
      <c r="B57" s="13"/>
      <c r="C57" s="13"/>
    </row>
    <row r="58" spans="1:7">
      <c r="B58" s="15" t="s">
        <v>101</v>
      </c>
      <c r="C58" s="15" t="s">
        <v>123</v>
      </c>
    </row>
    <row r="59" spans="1:7">
      <c r="B59" s="15" t="s">
        <v>117</v>
      </c>
      <c r="C59" s="5">
        <f>AVERAGEIF($I$2:$I$38,"High GDP",$E$2:$E$38)</f>
        <v>2.4692926224913454</v>
      </c>
    </row>
    <row r="60" spans="1:7">
      <c r="B60" s="15" t="s">
        <v>118</v>
      </c>
      <c r="C60" s="5">
        <f>AVERAGEIF($I$2:$I$38,"Low GDP",$E$2:$E$38)</f>
        <v>3.257482808222822</v>
      </c>
    </row>
    <row r="69" spans="1:7">
      <c r="A69" s="11"/>
      <c r="B69" s="11"/>
      <c r="C69" s="11"/>
      <c r="D69" s="11"/>
      <c r="E69" s="11"/>
      <c r="F69" s="11"/>
      <c r="G69" s="11"/>
    </row>
    <row r="70" spans="1:7">
      <c r="A70" s="12"/>
      <c r="B70" s="11"/>
      <c r="C70" s="11" t="s">
        <v>105</v>
      </c>
      <c r="D70" s="11" t="s">
        <v>110</v>
      </c>
      <c r="E70" s="11" t="s">
        <v>106</v>
      </c>
      <c r="F70" s="11" t="s">
        <v>107</v>
      </c>
      <c r="G70" s="11" t="s">
        <v>108</v>
      </c>
    </row>
    <row r="71" spans="1:7">
      <c r="A71" s="12"/>
      <c r="B71" s="12" t="s">
        <v>105</v>
      </c>
      <c r="C71" s="19">
        <f>CORREL(B$2:B$38,B$2:B$38)</f>
        <v>1</v>
      </c>
      <c r="D71" s="19">
        <f>CORREL(B$2:B$38,C$2:C$38)</f>
        <v>0.6139386802325324</v>
      </c>
      <c r="E71" s="19">
        <f>CORREL(B$2:B$38,D$2:D$38)</f>
        <v>0.94030974946312817</v>
      </c>
      <c r="F71" s="19">
        <f>CORREL(B$2:B$38,E$2:E$38)</f>
        <v>-0.28485618606266444</v>
      </c>
      <c r="G71" s="19">
        <f>CORREL(B$2:B$38,F$2:F$38)</f>
        <v>0.23444892941305986</v>
      </c>
    </row>
    <row r="72" spans="1:7">
      <c r="A72" s="12"/>
      <c r="B72" s="12" t="s">
        <v>110</v>
      </c>
      <c r="C72" s="19">
        <f>CORREL(C$2:C$38,B$2:B$38)</f>
        <v>0.6139386802325324</v>
      </c>
      <c r="D72" s="19">
        <f>CORREL(C$2:C$38,C$2:C$38)</f>
        <v>0.99999999999999989</v>
      </c>
      <c r="E72" s="19">
        <f>CORREL(C$2:C$38,D$2:D$38)</f>
        <v>0.40029914251742732</v>
      </c>
      <c r="F72" s="19">
        <f>CORREL(C$2:C$38,E$2:E$38)</f>
        <v>-0.24895946138875358</v>
      </c>
      <c r="G72" s="19">
        <f>CORREL(C$2:C$38,F$2:F$38)</f>
        <v>0.70101582777463955</v>
      </c>
    </row>
    <row r="73" spans="1:7">
      <c r="A73" s="12" t="s">
        <v>119</v>
      </c>
      <c r="B73" s="12" t="s">
        <v>106</v>
      </c>
      <c r="C73" s="19">
        <f>CORREL(D$2:D$38,B$2:B$38)</f>
        <v>0.94030974946312817</v>
      </c>
      <c r="D73" s="19">
        <f>CORREL(D$2:D$38,C$2:C$38)</f>
        <v>0.40029914251742732</v>
      </c>
      <c r="E73" s="19">
        <f>CORREL(D$2:D$38,D$2:D$38)</f>
        <v>1</v>
      </c>
      <c r="F73" s="19">
        <f>CORREL(D$2:D$38,E$2:E$38)</f>
        <v>-0.16501687204877435</v>
      </c>
      <c r="G73" s="19">
        <f>CORREL(D$2:D$38,F$2:F$38)</f>
        <v>1.1646222904584827E-3</v>
      </c>
    </row>
    <row r="74" spans="1:7">
      <c r="A74" s="12" t="s">
        <v>120</v>
      </c>
      <c r="B74" s="12" t="s">
        <v>107</v>
      </c>
      <c r="C74" s="19">
        <f>CORREL(E$2:E$38,B$2:B$38)</f>
        <v>-0.28485618606266444</v>
      </c>
      <c r="D74" s="19">
        <f>CORREL(E$2:E$38,C$2:C$38)</f>
        <v>-0.24895946138875358</v>
      </c>
      <c r="E74" s="19">
        <f>CORREL(E$2:E$38,D$2:D$38)</f>
        <v>-0.16501687204877435</v>
      </c>
      <c r="F74" s="19">
        <f>CORREL(E$2:E$38,E$2:E$38)</f>
        <v>0.99999999999999989</v>
      </c>
      <c r="G74" s="19">
        <f>CORREL(E$2:E$38,F$2:F$38)</f>
        <v>-0.44343479596395596</v>
      </c>
    </row>
    <row r="75" spans="1:7">
      <c r="A75" s="12" t="s">
        <v>121</v>
      </c>
      <c r="B75" s="12" t="s">
        <v>108</v>
      </c>
      <c r="C75" s="19">
        <f>CORREL(F$2:F$38,B$2:B$38)</f>
        <v>0.23444892941305986</v>
      </c>
      <c r="D75" s="19">
        <f>CORREL(F$2:F$38,C$2:C$38)</f>
        <v>0.70101582777463955</v>
      </c>
      <c r="E75" s="19">
        <f>CORREL(F$2:F$38,D$2:D$38)</f>
        <v>1.1646222904584827E-3</v>
      </c>
      <c r="F75" s="19">
        <f>CORREL(F$2:F$38,E$2:E$38)</f>
        <v>-0.44343479596395596</v>
      </c>
      <c r="G75" s="19">
        <f>CORREL(F$2:F$38,F$2:F$38)</f>
        <v>0.99999999999999978</v>
      </c>
    </row>
    <row r="76" spans="1:7">
      <c r="A76" s="12" t="s">
        <v>122</v>
      </c>
      <c r="B76" s="12" t="s">
        <v>109</v>
      </c>
      <c r="C76" s="19">
        <f>CORREL(G$2:G$38,B$2:B$38)</f>
        <v>0.46546633006681426</v>
      </c>
      <c r="D76" s="19">
        <f>CORREL(G$2:G$38,C$2:C$38)</f>
        <v>0.69504622275155958</v>
      </c>
      <c r="E76" s="19">
        <f>CORREL(G$2:G$38,D$2:D$38)</f>
        <v>0.26599945881342596</v>
      </c>
      <c r="F76" s="19">
        <f>CORREL(G$2:G$38,E$2:E$38)</f>
        <v>-0.24701171066984942</v>
      </c>
      <c r="G76" s="19">
        <f>CORREL(G$2:G$38,F$2:F$38)</f>
        <v>0.70272544149272953</v>
      </c>
    </row>
  </sheetData>
  <conditionalFormatting sqref="C71:G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Нормалізовані дані</vt:lpstr>
      <vt:lpstr>Зведена таблиця</vt:lpstr>
      <vt:lpstr>Data</vt:lpstr>
      <vt:lpstr>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7400</dc:creator>
  <cp:lastModifiedBy>7400</cp:lastModifiedBy>
  <dcterms:created xsi:type="dcterms:W3CDTF">2026-04-22T21:32:05Z</dcterms:created>
  <dcterms:modified xsi:type="dcterms:W3CDTF">2026-04-22T21:32:05Z</dcterms:modified>
</cp:coreProperties>
</file>